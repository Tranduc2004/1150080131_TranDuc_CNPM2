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rand\Downloads\"/>
    </mc:Choice>
  </mc:AlternateContent>
  <bookViews>
    <workbookView xWindow="0" yWindow="0" windowWidth="28800" windowHeight="12210"/>
  </bookViews>
  <sheets>
    <sheet name="Bai1" sheetId="1" r:id="rId1"/>
    <sheet name="Bai 2" sheetId="2" r:id="rId2"/>
    <sheet name="Bai 3" sheetId="3" r:id="rId3"/>
  </sheets>
  <calcPr calcId="162913"/>
</workbook>
</file>

<file path=xl/calcChain.xml><?xml version="1.0" encoding="utf-8"?>
<calcChain xmlns="http://schemas.openxmlformats.org/spreadsheetml/2006/main">
  <c r="C8" i="1" l="1"/>
  <c r="H7" i="1"/>
  <c r="D7" i="1"/>
  <c r="E7" i="1"/>
  <c r="F7" i="1"/>
  <c r="G7" i="1"/>
  <c r="C7" i="1"/>
</calcChain>
</file>

<file path=xl/sharedStrings.xml><?xml version="1.0" encoding="utf-8"?>
<sst xmlns="http://schemas.openxmlformats.org/spreadsheetml/2006/main" count="57" uniqueCount="38">
  <si>
    <t>Discount rate</t>
  </si>
  <si>
    <t>10%</t>
  </si>
  <si>
    <t>8%</t>
  </si>
  <si>
    <t>Assume the project is complete in Year 0</t>
  </si>
  <si>
    <t>PROJECT 1</t>
  </si>
  <si>
    <t>Total</t>
  </si>
  <si>
    <t>Benefits</t>
  </si>
  <si>
    <t>$</t>
  </si>
  <si>
    <t>$2,000</t>
  </si>
  <si>
    <t>$3,000</t>
  </si>
  <si>
    <t>$4,000</t>
  </si>
  <si>
    <t>$5,000</t>
  </si>
  <si>
    <t>Costs</t>
  </si>
  <si>
    <t>Cost</t>
  </si>
  <si>
    <t>5,000</t>
  </si>
  <si>
    <t>1,000</t>
  </si>
  <si>
    <t>$1,000</t>
  </si>
  <si>
    <t>Discount factor</t>
  </si>
  <si>
    <t>Cash flow</t>
  </si>
  <si>
    <t>Discounted Cost</t>
  </si>
  <si>
    <t>NPV</t>
  </si>
  <si>
    <t>?</t>
  </si>
  <si>
    <t>PROJECT 2</t>
  </si>
  <si>
    <t>Discounted benefits</t>
  </si>
  <si>
    <t>Discounted benefits - cost</t>
  </si>
  <si>
    <t>(1,000)</t>
  </si>
  <si>
    <t>2,000</t>
  </si>
  <si>
    <t>Cumulative benefits - cost</t>
  </si>
  <si>
    <t>ROI</t>
  </si>
  <si>
    <t>Year</t>
  </si>
  <si>
    <t>Cum Costs</t>
  </si>
  <si>
    <t>Cum Benefits</t>
  </si>
  <si>
    <t>Year 1</t>
  </si>
  <si>
    <t>Year 2</t>
  </si>
  <si>
    <t xml:space="preserve">Year 3 </t>
  </si>
  <si>
    <t>Year 4</t>
  </si>
  <si>
    <t>Year 5</t>
  </si>
  <si>
    <t>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</si>
</sst>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/>
    <xf numFmtId="0" fontId="1" fillId="0" borderId="2" xfId="0" applyFont="1" applyBorder="1"/>
    <xf numFmtId="0" fontId="0" fillId="0" borderId="2" xfId="0" applyBorder="1"/>
    <xf numFmtId="0" fontId="0" fillId="3" borderId="1" xfId="0" applyFill="1" applyBorder="1" applyAlignment="1">
      <alignment horizontal="center" vertical="center"/>
    </xf>
    <xf numFmtId="0" fontId="0" fillId="0" borderId="3" xfId="0" applyFill="1" applyBorder="1"/>
    <xf numFmtId="3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workbookViewId="0">
      <selection activeCell="M20" sqref="M20"/>
    </sheetView>
  </sheetViews>
  <sheetFormatPr defaultRowHeight="15" x14ac:dyDescent="0.25"/>
  <cols>
    <col min="1" max="15" width="14" customWidth="1"/>
  </cols>
  <sheetData>
    <row r="1" spans="1:8" x14ac:dyDescent="0.25">
      <c r="A1" s="1" t="s">
        <v>0</v>
      </c>
      <c r="B1" t="s">
        <v>1</v>
      </c>
    </row>
    <row r="3" spans="1:8" x14ac:dyDescent="0.25">
      <c r="A3" s="5" t="s">
        <v>4</v>
      </c>
      <c r="B3" s="6"/>
      <c r="C3" s="6" t="s">
        <v>32</v>
      </c>
      <c r="D3" s="6" t="s">
        <v>33</v>
      </c>
      <c r="E3" s="6" t="s">
        <v>34</v>
      </c>
      <c r="F3" s="6" t="s">
        <v>35</v>
      </c>
      <c r="G3" s="6" t="s">
        <v>36</v>
      </c>
      <c r="H3" s="8" t="s">
        <v>5</v>
      </c>
    </row>
    <row r="4" spans="1:8" x14ac:dyDescent="0.25">
      <c r="A4" s="5" t="s">
        <v>6</v>
      </c>
      <c r="B4" s="6"/>
      <c r="C4" s="6"/>
      <c r="D4" s="6" t="s">
        <v>8</v>
      </c>
      <c r="E4" s="6" t="s">
        <v>9</v>
      </c>
      <c r="F4" s="6" t="s">
        <v>10</v>
      </c>
      <c r="G4" s="6" t="s">
        <v>11</v>
      </c>
    </row>
    <row r="5" spans="1:8" x14ac:dyDescent="0.25">
      <c r="A5" s="5" t="s">
        <v>13</v>
      </c>
      <c r="B5" s="6"/>
      <c r="C5" s="6">
        <v>5000</v>
      </c>
      <c r="D5" s="6" t="s">
        <v>14</v>
      </c>
      <c r="E5" s="6">
        <v>1000</v>
      </c>
      <c r="F5" s="6" t="s">
        <v>15</v>
      </c>
      <c r="G5" s="9">
        <v>1000</v>
      </c>
    </row>
    <row r="6" spans="1:8" x14ac:dyDescent="0.25">
      <c r="A6" s="5" t="s">
        <v>18</v>
      </c>
      <c r="B6" s="6"/>
      <c r="C6" s="6">
        <v>5000</v>
      </c>
      <c r="D6" s="6">
        <v>1000</v>
      </c>
      <c r="E6" s="6" t="s">
        <v>15</v>
      </c>
      <c r="F6" s="9">
        <v>2000</v>
      </c>
      <c r="G6" s="9">
        <v>3000</v>
      </c>
    </row>
    <row r="7" spans="1:8" x14ac:dyDescent="0.25">
      <c r="A7" s="5" t="s">
        <v>37</v>
      </c>
      <c r="B7" s="6"/>
      <c r="C7" s="6">
        <f>C6*(1.1)^1</f>
        <v>5500</v>
      </c>
      <c r="D7" s="6">
        <f>D6*(1.1)^2</f>
        <v>1210.0000000000002</v>
      </c>
      <c r="E7" s="6">
        <f>E6*(1.1)^3</f>
        <v>1331.0000000000005</v>
      </c>
      <c r="F7" s="6">
        <f>F6*(1.1)^4</f>
        <v>2928.2000000000007</v>
      </c>
      <c r="G7" s="6">
        <f>G6*(1.1)^5</f>
        <v>4831.5300000000016</v>
      </c>
      <c r="H7">
        <f>SUM(C7:G7)</f>
        <v>15800.730000000003</v>
      </c>
    </row>
    <row r="8" spans="1:8" x14ac:dyDescent="0.25">
      <c r="A8" s="5" t="s">
        <v>20</v>
      </c>
      <c r="B8" s="6"/>
      <c r="C8" s="6">
        <f>$H$7-C5</f>
        <v>10800.730000000003</v>
      </c>
      <c r="D8" s="6"/>
      <c r="E8" s="6"/>
      <c r="F8" s="6"/>
      <c r="G8" s="6"/>
    </row>
    <row r="9" spans="1:8" x14ac:dyDescent="0.25">
      <c r="A9" s="6"/>
      <c r="B9" s="6"/>
      <c r="C9" s="6"/>
      <c r="D9" s="6"/>
      <c r="E9" s="6"/>
      <c r="F9" s="6"/>
      <c r="G9" s="6"/>
    </row>
    <row r="10" spans="1:8" x14ac:dyDescent="0.25">
      <c r="A10" s="5" t="s">
        <v>22</v>
      </c>
      <c r="B10" s="6"/>
      <c r="C10" s="6"/>
      <c r="D10" s="6"/>
      <c r="E10" s="6"/>
      <c r="F10" s="6"/>
      <c r="G10" s="6"/>
    </row>
    <row r="11" spans="1:8" x14ac:dyDescent="0.25">
      <c r="A11" s="5" t="s">
        <v>6</v>
      </c>
      <c r="B11" s="6"/>
      <c r="C11" s="6" t="s">
        <v>16</v>
      </c>
      <c r="D11" s="6" t="s">
        <v>8</v>
      </c>
      <c r="E11" s="6" t="s">
        <v>10</v>
      </c>
      <c r="F11" s="6" t="s">
        <v>10</v>
      </c>
      <c r="G11" s="6"/>
    </row>
    <row r="12" spans="1:8" x14ac:dyDescent="0.25">
      <c r="A12" s="5" t="s">
        <v>13</v>
      </c>
      <c r="B12" s="6"/>
      <c r="C12" s="6" t="s">
        <v>8</v>
      </c>
      <c r="D12" s="6" t="s">
        <v>8</v>
      </c>
      <c r="E12" s="6" t="s">
        <v>8</v>
      </c>
      <c r="F12" s="6" t="s">
        <v>8</v>
      </c>
      <c r="G12" s="6"/>
    </row>
    <row r="13" spans="1:8" x14ac:dyDescent="0.25">
      <c r="A13" s="5" t="s">
        <v>18</v>
      </c>
      <c r="B13" s="6"/>
      <c r="C13" s="6" t="s">
        <v>25</v>
      </c>
      <c r="D13" s="6" t="s">
        <v>7</v>
      </c>
      <c r="E13" s="6" t="s">
        <v>26</v>
      </c>
      <c r="F13" s="6" t="s">
        <v>8</v>
      </c>
      <c r="G13" s="6"/>
    </row>
    <row r="14" spans="1:8" x14ac:dyDescent="0.25">
      <c r="A14" s="5" t="s">
        <v>20</v>
      </c>
      <c r="B14" s="6"/>
      <c r="C14" s="6"/>
      <c r="D14" s="6"/>
      <c r="E14" s="6"/>
      <c r="F14" s="6"/>
      <c r="G14" s="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6"/>
  <sheetViews>
    <sheetView workbookViewId="0">
      <selection activeCell="E35" sqref="E35"/>
    </sheetView>
  </sheetViews>
  <sheetFormatPr defaultRowHeight="15" x14ac:dyDescent="0.25"/>
  <cols>
    <col min="2" max="2" width="24.5703125" bestFit="1" customWidth="1"/>
    <col min="3" max="6" width="7" bestFit="1" customWidth="1"/>
    <col min="7" max="7" width="5.42578125" bestFit="1" customWidth="1"/>
  </cols>
  <sheetData>
    <row r="3" spans="2:7" x14ac:dyDescent="0.25">
      <c r="B3" s="1" t="s">
        <v>0</v>
      </c>
      <c r="C3" t="s">
        <v>2</v>
      </c>
    </row>
    <row r="4" spans="2:7" x14ac:dyDescent="0.25">
      <c r="B4" s="4" t="s">
        <v>3</v>
      </c>
      <c r="C4" s="4"/>
      <c r="D4" s="4"/>
      <c r="E4" s="4"/>
    </row>
    <row r="5" spans="2:7" x14ac:dyDescent="0.25">
      <c r="B5" s="5"/>
      <c r="C5" s="5">
        <v>0</v>
      </c>
      <c r="D5" s="5">
        <v>1</v>
      </c>
      <c r="E5" s="5">
        <v>2</v>
      </c>
      <c r="F5" s="5">
        <v>3</v>
      </c>
      <c r="G5" s="5" t="s">
        <v>5</v>
      </c>
    </row>
    <row r="6" spans="2:7" x14ac:dyDescent="0.25">
      <c r="B6" s="5" t="s">
        <v>12</v>
      </c>
      <c r="C6" s="6">
        <v>140000</v>
      </c>
      <c r="D6" s="6">
        <v>40000</v>
      </c>
      <c r="E6" s="6">
        <v>40000</v>
      </c>
      <c r="F6" s="6">
        <v>40000</v>
      </c>
      <c r="G6" s="6"/>
    </row>
    <row r="7" spans="2:7" x14ac:dyDescent="0.25">
      <c r="B7" s="5" t="s">
        <v>17</v>
      </c>
      <c r="C7" s="6">
        <v>1</v>
      </c>
      <c r="D7" s="6">
        <v>0.93</v>
      </c>
      <c r="E7" s="6">
        <v>0.86</v>
      </c>
      <c r="F7" s="6">
        <v>0.79</v>
      </c>
      <c r="G7" s="6"/>
    </row>
    <row r="8" spans="2:7" x14ac:dyDescent="0.25">
      <c r="B8" s="5" t="s">
        <v>19</v>
      </c>
      <c r="C8" s="6"/>
      <c r="D8" s="6"/>
      <c r="E8" s="6"/>
      <c r="F8" s="6"/>
      <c r="G8" s="6"/>
    </row>
    <row r="9" spans="2:7" x14ac:dyDescent="0.25">
      <c r="B9" s="6"/>
      <c r="C9" s="6"/>
      <c r="D9" s="6"/>
      <c r="E9" s="6"/>
      <c r="F9" s="6"/>
      <c r="G9" s="6"/>
    </row>
    <row r="10" spans="2:7" x14ac:dyDescent="0.25">
      <c r="B10" s="5" t="s">
        <v>6</v>
      </c>
      <c r="C10" s="6"/>
      <c r="D10" s="6">
        <v>200000</v>
      </c>
      <c r="E10" s="6">
        <v>200000</v>
      </c>
      <c r="F10" s="6">
        <v>200000</v>
      </c>
      <c r="G10" s="6"/>
    </row>
    <row r="11" spans="2:7" x14ac:dyDescent="0.25">
      <c r="B11" s="5" t="s">
        <v>17</v>
      </c>
      <c r="C11" s="6">
        <v>1</v>
      </c>
      <c r="D11" s="6">
        <v>0.93</v>
      </c>
      <c r="E11" s="6">
        <v>0.86</v>
      </c>
      <c r="F11" s="6">
        <v>0.79</v>
      </c>
      <c r="G11" s="6"/>
    </row>
    <row r="12" spans="2:7" x14ac:dyDescent="0.25">
      <c r="B12" s="5" t="s">
        <v>23</v>
      </c>
      <c r="C12" s="6"/>
      <c r="D12" s="6"/>
      <c r="E12" s="6"/>
      <c r="F12" s="6"/>
      <c r="G12" s="6"/>
    </row>
    <row r="13" spans="2:7" x14ac:dyDescent="0.25">
      <c r="B13" s="5" t="s">
        <v>24</v>
      </c>
      <c r="C13" s="6"/>
      <c r="D13" s="6"/>
      <c r="E13" s="6"/>
      <c r="F13" s="6"/>
      <c r="G13" s="6"/>
    </row>
    <row r="14" spans="2:7" x14ac:dyDescent="0.25">
      <c r="B14" s="5" t="s">
        <v>27</v>
      </c>
      <c r="C14" s="6"/>
      <c r="D14" s="6"/>
      <c r="E14" s="6"/>
      <c r="F14" s="6"/>
      <c r="G14" s="6"/>
    </row>
    <row r="15" spans="2:7" x14ac:dyDescent="0.25">
      <c r="B15" s="6"/>
      <c r="C15" s="6"/>
      <c r="D15" s="6"/>
      <c r="E15" s="6"/>
      <c r="F15" s="6"/>
      <c r="G15" s="6"/>
    </row>
    <row r="16" spans="2:7" x14ac:dyDescent="0.25">
      <c r="B16" s="5" t="s">
        <v>28</v>
      </c>
      <c r="C16" s="6" t="s">
        <v>21</v>
      </c>
      <c r="D16" s="6"/>
      <c r="E16" s="6"/>
      <c r="F16" s="6"/>
      <c r="G16" s="6"/>
    </row>
  </sheetData>
  <mergeCells count="1">
    <mergeCell ref="B4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F8"/>
  <sheetViews>
    <sheetView workbookViewId="0">
      <selection activeCell="E6" sqref="E6"/>
    </sheetView>
  </sheetViews>
  <sheetFormatPr defaultRowHeight="15" x14ac:dyDescent="0.25"/>
  <cols>
    <col min="2" max="6" width="15.5703125" customWidth="1"/>
  </cols>
  <sheetData>
    <row r="4" spans="2:6" x14ac:dyDescent="0.25">
      <c r="B4" s="2" t="s">
        <v>29</v>
      </c>
      <c r="C4" s="2" t="s">
        <v>12</v>
      </c>
      <c r="D4" s="2" t="s">
        <v>6</v>
      </c>
      <c r="E4" s="2" t="s">
        <v>30</v>
      </c>
      <c r="F4" s="2" t="s">
        <v>31</v>
      </c>
    </row>
    <row r="5" spans="2:6" x14ac:dyDescent="0.25">
      <c r="B5" s="7">
        <v>0</v>
      </c>
      <c r="C5" s="3">
        <v>140000</v>
      </c>
      <c r="D5" s="3"/>
      <c r="E5" s="3">
        <v>0</v>
      </c>
      <c r="F5" s="3"/>
    </row>
    <row r="6" spans="2:6" x14ac:dyDescent="0.25">
      <c r="B6" s="7">
        <v>1</v>
      </c>
      <c r="C6" s="3">
        <v>37200</v>
      </c>
      <c r="D6" s="3">
        <v>186000</v>
      </c>
      <c r="E6" s="3"/>
      <c r="F6" s="3"/>
    </row>
    <row r="7" spans="2:6" x14ac:dyDescent="0.25">
      <c r="B7" s="7">
        <v>2</v>
      </c>
      <c r="C7" s="3">
        <v>34400</v>
      </c>
      <c r="D7" s="3">
        <v>172000</v>
      </c>
      <c r="E7" s="3"/>
      <c r="F7" s="3"/>
    </row>
    <row r="8" spans="2:6" x14ac:dyDescent="0.25">
      <c r="B8" s="7">
        <v>3</v>
      </c>
      <c r="C8" s="3">
        <v>31600</v>
      </c>
      <c r="D8" s="3">
        <v>158000</v>
      </c>
      <c r="E8" s="3"/>
      <c r="F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Bai1</vt:lpstr>
      <vt:lpstr>Bai 2</vt:lpstr>
      <vt:lpstr>Bai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Đức Trần</cp:lastModifiedBy>
  <dcterms:created xsi:type="dcterms:W3CDTF">2025-11-10T09:43:58Z</dcterms:created>
  <dcterms:modified xsi:type="dcterms:W3CDTF">2025-11-10T10:16:29Z</dcterms:modified>
</cp:coreProperties>
</file>
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rand\Downloads\"/>
    </mc:Choice>
  </mc:AlternateContent>
  <xr:revisionPtr revIDLastSave="0" documentId="13_ncr:1_{B84B31CC-B41B-463B-8492-ABFAFF0507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Cases" sheetId="1" r:id="rId1"/>
    <sheet name="BVA Analysis" sheetId="2" r:id="rId2"/>
    <sheet name="Báo Cáo Tóm Tắt" sheetId="3" r:id="rId3"/>
    <sheet name="Báo Cáo Lỗi" sheetId="4" r:id="rId4"/>
  </sheets>
  <calcPr calcId="181029"/>
</workbook>
</file>

<file path=xl/calcChain.xml><?xml version="1.0" encoding="utf-8"?>
<calcChain xmlns="http://schemas.openxmlformats.org/spreadsheetml/2006/main">
  <c r="B13" i="3" l="1"/>
  <c r="B12" i="3"/>
  <c r="B14" i="3" s="1"/>
</calcChain>
</file>

<file path=xl/sharedStrings.xml><?xml version="1.0" encoding="utf-8"?>
<sst xmlns="http://schemas.openxmlformats.org/spreadsheetml/2006/main" count="286" uniqueCount="189">
  <si>
    <t>BÁO CÁO KIỂM THỬ - BÀI 5</t>
  </si>
  <si>
    <t>Chức năng: Add Job Title - Thêm chức danh công việc (BVA + Equivalence Partitioning)</t>
  </si>
  <si>
    <t>Người test:</t>
  </si>
  <si>
    <t>Your Name</t>
  </si>
  <si>
    <t>Ngày test:</t>
  </si>
  <si>
    <t>2025-02-03</t>
  </si>
  <si>
    <t>Version:</t>
  </si>
  <si>
    <t>1.0</t>
  </si>
  <si>
    <t>TC ID</t>
  </si>
  <si>
    <t>Mô tả</t>
  </si>
  <si>
    <t>Loại Test</t>
  </si>
  <si>
    <t>Bước thực hiện</t>
  </si>
  <si>
    <t>Kết quả mong đợi</t>
  </si>
  <si>
    <t>Mức độ</t>
  </si>
  <si>
    <t>Kết quả</t>
  </si>
  <si>
    <t>Ghi chú</t>
  </si>
  <si>
    <t>TC_001</t>
  </si>
  <si>
    <t>Thêm mới với dữ liệu hợp lệ đầy đủ</t>
  </si>
  <si>
    <t>Positive</t>
  </si>
  <si>
    <t>1. Nhập Job Title: "Senior Java Developer" (20 chars)
2. Nhập Description: "Develop enterprise applications" (32 chars)
3. Upload file: "job_spec.pdf" (500 KB)
4. Nhập Note: "Full-time position" (18 chars)
5. Click Save</t>
  </si>
  <si>
    <t>Hiển thị "Job title added successfully"
Dữ liệu được lưu vào database
File được lưu trữ</t>
  </si>
  <si>
    <t>High</t>
  </si>
  <si>
    <t>TC_002</t>
  </si>
  <si>
    <t>Job Title rỗng (BVA: length = 0)</t>
  </si>
  <si>
    <t>Negative</t>
  </si>
  <si>
    <t>1. Bỏ trống Job Title
2. Nhập Description: "Test description"
3. Click Save</t>
  </si>
  <si>
    <t>Hiển thị lỗi "Job Title is required"
Form không được submit</t>
  </si>
  <si>
    <t>TC_003</t>
  </si>
  <si>
    <t>Job Title = 1 ký tự (BVA: Lower boundary)</t>
  </si>
  <si>
    <t>BVA</t>
  </si>
  <si>
    <t>1. Nhập Job Title: "A" (1 char)
2. Click Save</t>
  </si>
  <si>
    <t>Lưu thành công hoặc hiển thị lỗi "Job Title too short"
(Tùy business rule)</t>
  </si>
  <si>
    <t>Medium</t>
  </si>
  <si>
    <t>TC_004</t>
  </si>
  <si>
    <t>Job Title = 100 ký tự (BVA: Upper boundary)</t>
  </si>
  <si>
    <t>1. Nhập Job Title: chuỗi 100 ký tự
2. Click Save</t>
  </si>
  <si>
    <t>Lưu thành công
Dữ liệu đầy đủ 100 ký tự</t>
  </si>
  <si>
    <t>TC_005</t>
  </si>
  <si>
    <t>Job Title = 101 ký tự (BVA: Vượt quá)</t>
  </si>
  <si>
    <t>1. Nhập Job Title: chuỗi 101 ký tự
2. Click Save</t>
  </si>
  <si>
    <t>Hiển thị lỗi "Job Title must be less than 100 characters"
Hoặc tự động cắt về 100 ký tự</t>
  </si>
  <si>
    <t>TC_006</t>
  </si>
  <si>
    <t>Description = 400 ký tự (BVA: Upper boundary)</t>
  </si>
  <si>
    <t>1. Nhập Job Title: "Test Job"
2. Nhập Description: chuỗi 400 ký tự
3. Click Save</t>
  </si>
  <si>
    <t>Lưu thành công
Description đầy đủ 400 ký tự</t>
  </si>
  <si>
    <t>TC_007</t>
  </si>
  <si>
    <t>Description = 401 ký tự (BVA: Vượt quá)</t>
  </si>
  <si>
    <t>1. Nhập Job Title: "Test Job"
2. Nhập Description: chuỗi 401 ký tự
3. Click Save</t>
  </si>
  <si>
    <t>Hiển thị lỗi "Description too long"
Hoặc tự động cắt về 400 ký tự</t>
  </si>
  <si>
    <t>TC_008</t>
  </si>
  <si>
    <t>Upload file = 1 KB (BVA: Minimum valid)</t>
  </si>
  <si>
    <t>1. Nhập Job Title: "Test Job"
2. Upload file: "small.txt" (1 KB)
3. Click Save</t>
  </si>
  <si>
    <t>Lưu thành công
File được lưu vào database</t>
  </si>
  <si>
    <t>TC_009</t>
  </si>
  <si>
    <t>Upload file = 1024 KB (BVA: Upper boundary)</t>
  </si>
  <si>
    <t>1. Nhập Job Title: "Test Job"
2. Upload file: "large.pdf" (1024 KB)
3. Click Save</t>
  </si>
  <si>
    <t>Lưu thành công
File 1024 KB được lưu</t>
  </si>
  <si>
    <t>TC_010</t>
  </si>
  <si>
    <t>Upload file = 1025 KB (BVA: Vượt quá)</t>
  </si>
  <si>
    <t>1. Nhập Job Title: "Test Job"
2. Chọn file: "toolarge.pdf" (1025 KB)
3. Click Save</t>
  </si>
  <si>
    <t>Hiển thị lỗi "File size must be less than 1024 KB"
Form không được submit</t>
  </si>
  <si>
    <t>TC_011</t>
  </si>
  <si>
    <t>Upload file rỗng (size = 0 KB)</t>
  </si>
  <si>
    <t>1. Nhập Job Title: "Test Job"
2. Chọn file rỗng (0 KB)
3. Click Save</t>
  </si>
  <si>
    <t>Hiển thị lỗi "File is empty"
Hoặc cho phép lưu (tùy business rule)</t>
  </si>
  <si>
    <t>TC_012</t>
  </si>
  <si>
    <t>Note = 400 ký tự (BVA: Upper boundary)</t>
  </si>
  <si>
    <t>1. Nhập Job Title: "Test Job"
2. Nhập Note: chuỗi 400 ký tự
3. Click Save</t>
  </si>
  <si>
    <t>Lưu thành công
Note đầy đủ 400 ký tự</t>
  </si>
  <si>
    <t>TC_013</t>
  </si>
  <si>
    <t>Note = 401 ký tự (BVA: Vượt quá)</t>
  </si>
  <si>
    <t>1. Nhập Job Title: "Test Job"
2. Nhập Note: chuỗi 401 ký tự
3. Click Save</t>
  </si>
  <si>
    <t>Hiển thị lỗi "Note too long"
Hoặc tự động cắt về 400 ký tự</t>
  </si>
  <si>
    <t>TC_014</t>
  </si>
  <si>
    <t>Click nút Cancel</t>
  </si>
  <si>
    <t>Functional</t>
  </si>
  <si>
    <t>1. Nhập Job Title: "Test Job"
2. Nhập Description: "Test"
3. Upload file
4. Click Cancel</t>
  </si>
  <si>
    <t>Form đóng lại hoặc clear dữ liệu
Không lưu vào database</t>
  </si>
  <si>
    <t>TC_015</t>
  </si>
  <si>
    <t>Upload file định dạng không hợp lệ</t>
  </si>
  <si>
    <t>Security</t>
  </si>
  <si>
    <t>1. Nhập Job Title: "Test Job"
2. Chọn file: "virus.exe"
3. Click Save</t>
  </si>
  <si>
    <t>Hiển thị lỗi "File format not allowed"
Form không được submit</t>
  </si>
  <si>
    <t>BOUNDARY VALUE ANALYSIS - BÀI 5</t>
  </si>
  <si>
    <t>TRƯỜNG: JOB TITLE (Max 100 ký tự)</t>
  </si>
  <si>
    <t>Partition</t>
  </si>
  <si>
    <t>Lower Boundary</t>
  </si>
  <si>
    <t>Upper Boundary</t>
  </si>
  <si>
    <t>Note</t>
  </si>
  <si>
    <t>Test Values</t>
  </si>
  <si>
    <t>1</t>
  </si>
  <si>
    <t>length = 0</t>
  </si>
  <si>
    <t>❌ Chuỗi rỗng (Invalid)</t>
  </si>
  <si>
    <t>0</t>
  </si>
  <si>
    <t>2</t>
  </si>
  <si>
    <t>length = 1</t>
  </si>
  <si>
    <t>length = 100</t>
  </si>
  <si>
    <t>✅ Chuỗi hợp lệ (Valid)</t>
  </si>
  <si>
    <t>1, 99, 100</t>
  </si>
  <si>
    <t>TC_003, TC_004</t>
  </si>
  <si>
    <t>3</t>
  </si>
  <si>
    <t>length = 101</t>
  </si>
  <si>
    <t>length = Max</t>
  </si>
  <si>
    <t>❌ Chuỗi quá dài (Invalid)</t>
  </si>
  <si>
    <t>101</t>
  </si>
  <si>
    <t>TRƯỜNG: DESCRIPTION (Max 400 ký tự)</t>
  </si>
  <si>
    <t>✅ Rỗng được phép</t>
  </si>
  <si>
    <t>-</t>
  </si>
  <si>
    <t>length = 400</t>
  </si>
  <si>
    <t>✅ Hợp lệ</t>
  </si>
  <si>
    <t>1, 399, 400</t>
  </si>
  <si>
    <t>length = 401</t>
  </si>
  <si>
    <t>❌ Quá dài</t>
  </si>
  <si>
    <t>401</t>
  </si>
  <si>
    <t>TRƯỜNG: JOB SPECIFICATION FILE (Max 1024 KB)</t>
  </si>
  <si>
    <t>size = 0 KB</t>
  </si>
  <si>
    <t>✅ Không chọn file</t>
  </si>
  <si>
    <t>0 KB</t>
  </si>
  <si>
    <t>size = 1 KB</t>
  </si>
  <si>
    <t>size = 1024 KB</t>
  </si>
  <si>
    <t>✅ File hợp lệ</t>
  </si>
  <si>
    <t>1, 1023, 1024 KB</t>
  </si>
  <si>
    <t>TC_008, TC_009</t>
  </si>
  <si>
    <t>size = 1025 KB</t>
  </si>
  <si>
    <t>size = Max</t>
  </si>
  <si>
    <t>❌ File quá lớn</t>
  </si>
  <si>
    <t>1025 KB</t>
  </si>
  <si>
    <t>TRƯỜNG: NOTE (Max 400 ký tự)</t>
  </si>
  <si>
    <t>BÁO CÁO KIỂM THỬ TÓM TẮT - BÀI 5</t>
  </si>
  <si>
    <t>Tên bài:</t>
  </si>
  <si>
    <t>Bài 5 - Add Job Title (BVA + Equivalence Partitioning)</t>
  </si>
  <si>
    <t>Chức năng:</t>
  </si>
  <si>
    <t>Thêm mới chức danh công việc với file đính kèm</t>
  </si>
  <si>
    <t>Phương pháp:</t>
  </si>
  <si>
    <t>Boundary Value Analysis + Equivalence Partitioning</t>
  </si>
  <si>
    <t>THỐNG KÊ TEST CASES</t>
  </si>
  <si>
    <t>Tiêu chí</t>
  </si>
  <si>
    <t>Giá trị</t>
  </si>
  <si>
    <t>Tổng số test case</t>
  </si>
  <si>
    <t>15</t>
  </si>
  <si>
    <t>Test case PASS</t>
  </si>
  <si>
    <t>Test case FAIL</t>
  </si>
  <si>
    <t>Tỷ lệ PASS (%)</t>
  </si>
  <si>
    <t>Mức độ High</t>
  </si>
  <si>
    <t>9</t>
  </si>
  <si>
    <t>Mức độ Medium</t>
  </si>
  <si>
    <t>6</t>
  </si>
  <si>
    <t>Mức độ Low</t>
  </si>
  <si>
    <t>PHÂN LOẠI TEST CASES</t>
  </si>
  <si>
    <t>Loại</t>
  </si>
  <si>
    <t>Test Cases</t>
  </si>
  <si>
    <t>Số lượng</t>
  </si>
  <si>
    <t>Positive Testing</t>
  </si>
  <si>
    <t>Negative Testing</t>
  </si>
  <si>
    <t>TC_002, TC_011</t>
  </si>
  <si>
    <t>BVA Testing</t>
  </si>
  <si>
    <t>TC_003-010, TC_012-013</t>
  </si>
  <si>
    <t>10</t>
  </si>
  <si>
    <t>Functional Testing</t>
  </si>
  <si>
    <t>Security Testing</t>
  </si>
  <si>
    <t>PHÂN TÍCH BOUNDARY VALUES</t>
  </si>
  <si>
    <t>Trường</t>
  </si>
  <si>
    <t>Giới hạn</t>
  </si>
  <si>
    <t>Boundary Values</t>
  </si>
  <si>
    <t>Job Title</t>
  </si>
  <si>
    <t>Max 100 chars</t>
  </si>
  <si>
    <t>0, 1, 100, 101</t>
  </si>
  <si>
    <t>TC_002-005</t>
  </si>
  <si>
    <t>Description</t>
  </si>
  <si>
    <t>Max 400 chars</t>
  </si>
  <si>
    <t>0, 1, 400, 401</t>
  </si>
  <si>
    <t>TC_006-007</t>
  </si>
  <si>
    <t>File Size</t>
  </si>
  <si>
    <t>Max 1024 KB</t>
  </si>
  <si>
    <t>0, 1, 1024, 1025 KB</t>
  </si>
  <si>
    <t>TC_008-011</t>
  </si>
  <si>
    <t>TC_012-013</t>
  </si>
  <si>
    <t>BẢNG TÓM TẮT LỖI PHÁT HIỆN - BÀI 5</t>
  </si>
  <si>
    <t>No.</t>
  </si>
  <si>
    <t>Mô tả lỗi</t>
  </si>
  <si>
    <t>Trạng thái</t>
  </si>
  <si>
    <t>Ngày phát hiện</t>
  </si>
  <si>
    <t>TỔNG KẾT LỖI</t>
  </si>
  <si>
    <t>Tổng số lỗi:</t>
  </si>
  <si>
    <t>Lỗi High:</t>
  </si>
  <si>
    <t>Lỗi Medium:</t>
  </si>
  <si>
    <t>Lỗi Low:</t>
  </si>
  <si>
    <t>Lỗi Critical:</t>
  </si>
  <si>
    <t>Trần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</si>
</sst>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opLeftCell="A16" workbookViewId="0">
      <selection activeCell="B6" sqref="B6"/>
    </sheetView>
  </sheetViews>
  <sheetFormatPr defaultRowHeight="15" x14ac:dyDescent="0.25"/>
  <cols>
    <col min="1" max="1" width="10" customWidth="1"/>
    <col min="2" max="2" width="35" customWidth="1"/>
    <col min="3" max="3" width="12" customWidth="1"/>
    <col min="4" max="5" width="40" customWidth="1"/>
    <col min="6" max="6" width="10" customWidth="1"/>
    <col min="7" max="7" width="12" customWidth="1"/>
    <col min="8" max="8" width="30" customWidth="1"/>
  </cols>
  <sheetData>
    <row r="1" spans="1:1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t="s">
        <v>2</v>
      </c>
      <c r="B3" t="s">
        <v>188</v>
      </c>
      <c r="D3" t="s">
        <v>4</v>
      </c>
      <c r="E3" t="s">
        <v>5</v>
      </c>
      <c r="G3" t="s">
        <v>6</v>
      </c>
      <c r="H3" t="s">
        <v>7</v>
      </c>
    </row>
    <row r="5" spans="1:11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</row>
    <row r="6" spans="1:11" ht="89.25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/>
      <c r="H6" s="2"/>
    </row>
    <row r="7" spans="1:11" ht="38.2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21</v>
      </c>
      <c r="G7" s="2"/>
      <c r="H7" s="2"/>
    </row>
    <row r="8" spans="1:11" ht="38.25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/>
      <c r="H8" s="2"/>
    </row>
    <row r="9" spans="1:11" ht="25.5" x14ac:dyDescent="0.25">
      <c r="A9" s="2" t="s">
        <v>33</v>
      </c>
      <c r="B9" s="2" t="s">
        <v>34</v>
      </c>
      <c r="C9" s="2" t="s">
        <v>29</v>
      </c>
      <c r="D9" s="2" t="s">
        <v>35</v>
      </c>
      <c r="E9" s="2" t="s">
        <v>36</v>
      </c>
      <c r="F9" s="2" t="s">
        <v>21</v>
      </c>
      <c r="G9" s="2"/>
      <c r="H9" s="2"/>
    </row>
    <row r="10" spans="1:11" ht="38.25" x14ac:dyDescent="0.25">
      <c r="A10" s="2" t="s">
        <v>37</v>
      </c>
      <c r="B10" s="2" t="s">
        <v>38</v>
      </c>
      <c r="C10" s="2" t="s">
        <v>29</v>
      </c>
      <c r="D10" s="2" t="s">
        <v>39</v>
      </c>
      <c r="E10" s="2" t="s">
        <v>40</v>
      </c>
      <c r="F10" s="2" t="s">
        <v>21</v>
      </c>
      <c r="G10" s="2"/>
      <c r="H10" s="2"/>
    </row>
    <row r="11" spans="1:11" ht="38.25" x14ac:dyDescent="0.25">
      <c r="A11" s="2" t="s">
        <v>41</v>
      </c>
      <c r="B11" s="2" t="s">
        <v>42</v>
      </c>
      <c r="C11" s="2" t="s">
        <v>29</v>
      </c>
      <c r="D11" s="2" t="s">
        <v>43</v>
      </c>
      <c r="E11" s="2" t="s">
        <v>44</v>
      </c>
      <c r="F11" s="2" t="s">
        <v>32</v>
      </c>
      <c r="G11" s="2"/>
      <c r="H11" s="2"/>
    </row>
    <row r="12" spans="1:11" ht="38.25" x14ac:dyDescent="0.25">
      <c r="A12" s="2" t="s">
        <v>45</v>
      </c>
      <c r="B12" s="2" t="s">
        <v>46</v>
      </c>
      <c r="C12" s="2" t="s">
        <v>29</v>
      </c>
      <c r="D12" s="2" t="s">
        <v>47</v>
      </c>
      <c r="E12" s="2" t="s">
        <v>48</v>
      </c>
      <c r="F12" s="2" t="s">
        <v>32</v>
      </c>
      <c r="G12" s="2"/>
      <c r="H12" s="2"/>
    </row>
    <row r="13" spans="1:11" ht="38.25" x14ac:dyDescent="0.25">
      <c r="A13" s="2" t="s">
        <v>49</v>
      </c>
      <c r="B13" s="2" t="s">
        <v>50</v>
      </c>
      <c r="C13" s="2" t="s">
        <v>29</v>
      </c>
      <c r="D13" s="2" t="s">
        <v>51</v>
      </c>
      <c r="E13" s="2" t="s">
        <v>52</v>
      </c>
      <c r="F13" s="2" t="s">
        <v>21</v>
      </c>
      <c r="G13" s="2"/>
      <c r="H13" s="2"/>
    </row>
    <row r="14" spans="1:11" ht="38.25" x14ac:dyDescent="0.25">
      <c r="A14" s="2" t="s">
        <v>53</v>
      </c>
      <c r="B14" s="2" t="s">
        <v>54</v>
      </c>
      <c r="C14" s="2" t="s">
        <v>29</v>
      </c>
      <c r="D14" s="2" t="s">
        <v>55</v>
      </c>
      <c r="E14" s="2" t="s">
        <v>56</v>
      </c>
      <c r="F14" s="2" t="s">
        <v>21</v>
      </c>
      <c r="G14" s="2"/>
      <c r="H14" s="2"/>
    </row>
    <row r="15" spans="1:11" ht="38.25" x14ac:dyDescent="0.25">
      <c r="A15" s="2" t="s">
        <v>57</v>
      </c>
      <c r="B15" s="2" t="s">
        <v>58</v>
      </c>
      <c r="C15" s="2" t="s">
        <v>29</v>
      </c>
      <c r="D15" s="2" t="s">
        <v>59</v>
      </c>
      <c r="E15" s="2" t="s">
        <v>60</v>
      </c>
      <c r="F15" s="2" t="s">
        <v>21</v>
      </c>
      <c r="G15" s="2"/>
      <c r="H15" s="2"/>
    </row>
    <row r="16" spans="1:11" ht="38.25" x14ac:dyDescent="0.25">
      <c r="A16" s="2" t="s">
        <v>61</v>
      </c>
      <c r="B16" s="2" t="s">
        <v>62</v>
      </c>
      <c r="C16" s="2" t="s">
        <v>24</v>
      </c>
      <c r="D16" s="2" t="s">
        <v>63</v>
      </c>
      <c r="E16" s="2" t="s">
        <v>64</v>
      </c>
      <c r="F16" s="2" t="s">
        <v>32</v>
      </c>
      <c r="G16" s="2"/>
      <c r="H16" s="2"/>
    </row>
    <row r="17" spans="1:8" ht="38.25" x14ac:dyDescent="0.25">
      <c r="A17" s="2" t="s">
        <v>65</v>
      </c>
      <c r="B17" s="2" t="s">
        <v>66</v>
      </c>
      <c r="C17" s="2" t="s">
        <v>29</v>
      </c>
      <c r="D17" s="2" t="s">
        <v>67</v>
      </c>
      <c r="E17" s="2" t="s">
        <v>68</v>
      </c>
      <c r="F17" s="2" t="s">
        <v>32</v>
      </c>
      <c r="G17" s="2"/>
      <c r="H17" s="2"/>
    </row>
    <row r="18" spans="1:8" ht="38.25" x14ac:dyDescent="0.25">
      <c r="A18" s="2" t="s">
        <v>69</v>
      </c>
      <c r="B18" s="2" t="s">
        <v>70</v>
      </c>
      <c r="C18" s="2" t="s">
        <v>29</v>
      </c>
      <c r="D18" s="2" t="s">
        <v>71</v>
      </c>
      <c r="E18" s="2" t="s">
        <v>72</v>
      </c>
      <c r="F18" s="2" t="s">
        <v>32</v>
      </c>
      <c r="G18" s="2"/>
      <c r="H18" s="2"/>
    </row>
    <row r="19" spans="1:8" ht="51" x14ac:dyDescent="0.25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21</v>
      </c>
      <c r="G19" s="2"/>
      <c r="H19" s="2"/>
    </row>
    <row r="20" spans="1:8" ht="38.25" x14ac:dyDescent="0.25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2" t="s">
        <v>21</v>
      </c>
      <c r="G20" s="2"/>
      <c r="H20" s="2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>
      <selection activeCell="H23" sqref="H23"/>
    </sheetView>
  </sheetViews>
  <sheetFormatPr defaultRowHeight="15" x14ac:dyDescent="0.25"/>
  <cols>
    <col min="1" max="1" width="12" customWidth="1"/>
    <col min="2" max="3" width="18" customWidth="1"/>
    <col min="4" max="4" width="30" customWidth="1"/>
    <col min="5" max="6" width="20" customWidth="1"/>
  </cols>
  <sheetData>
    <row r="1" spans="1:7" x14ac:dyDescent="0.25">
      <c r="A1" s="11" t="s">
        <v>83</v>
      </c>
      <c r="B1" s="10"/>
      <c r="C1" s="10"/>
      <c r="D1" s="10"/>
      <c r="E1" s="10"/>
      <c r="F1" s="10"/>
      <c r="G1" s="10"/>
    </row>
    <row r="3" spans="1:7" x14ac:dyDescent="0.25">
      <c r="A3" s="12" t="s">
        <v>84</v>
      </c>
      <c r="B3" s="10"/>
      <c r="C3" s="10"/>
      <c r="D3" s="10"/>
      <c r="E3" s="10"/>
      <c r="F3" s="10"/>
      <c r="G3" s="10"/>
    </row>
    <row r="4" spans="1:7" x14ac:dyDescent="0.25">
      <c r="A4" s="1" t="s">
        <v>85</v>
      </c>
      <c r="B4" s="1" t="s">
        <v>86</v>
      </c>
      <c r="C4" s="1" t="s">
        <v>87</v>
      </c>
      <c r="D4" s="1" t="s">
        <v>88</v>
      </c>
      <c r="E4" s="1" t="s">
        <v>89</v>
      </c>
      <c r="F4" s="1" t="s">
        <v>8</v>
      </c>
    </row>
    <row r="5" spans="1:7" x14ac:dyDescent="0.25">
      <c r="A5" s="2" t="s">
        <v>90</v>
      </c>
      <c r="B5" s="2" t="s">
        <v>91</v>
      </c>
      <c r="C5" s="2" t="s">
        <v>91</v>
      </c>
      <c r="D5" s="2" t="s">
        <v>92</v>
      </c>
      <c r="E5" s="2" t="s">
        <v>93</v>
      </c>
      <c r="F5" s="2" t="s">
        <v>22</v>
      </c>
    </row>
    <row r="6" spans="1:7" x14ac:dyDescent="0.25">
      <c r="A6" s="2" t="s">
        <v>94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99</v>
      </c>
    </row>
    <row r="7" spans="1:7" x14ac:dyDescent="0.25">
      <c r="A7" s="2" t="s">
        <v>100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37</v>
      </c>
    </row>
    <row r="9" spans="1:7" x14ac:dyDescent="0.25">
      <c r="A9" s="12" t="s">
        <v>105</v>
      </c>
      <c r="B9" s="10"/>
      <c r="C9" s="10"/>
      <c r="D9" s="10"/>
      <c r="E9" s="10"/>
      <c r="F9" s="10"/>
      <c r="G9" s="10"/>
    </row>
    <row r="10" spans="1:7" x14ac:dyDescent="0.25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8</v>
      </c>
    </row>
    <row r="11" spans="1:7" x14ac:dyDescent="0.25">
      <c r="A11" s="2" t="s">
        <v>90</v>
      </c>
      <c r="B11" s="2" t="s">
        <v>91</v>
      </c>
      <c r="C11" s="2" t="s">
        <v>91</v>
      </c>
      <c r="D11" s="2" t="s">
        <v>106</v>
      </c>
      <c r="E11" s="2" t="s">
        <v>93</v>
      </c>
      <c r="F11" s="2" t="s">
        <v>107</v>
      </c>
    </row>
    <row r="12" spans="1:7" x14ac:dyDescent="0.25">
      <c r="A12" s="2" t="s">
        <v>94</v>
      </c>
      <c r="B12" s="2" t="s">
        <v>95</v>
      </c>
      <c r="C12" s="2" t="s">
        <v>108</v>
      </c>
      <c r="D12" s="2" t="s">
        <v>109</v>
      </c>
      <c r="E12" s="2" t="s">
        <v>110</v>
      </c>
      <c r="F12" s="2" t="s">
        <v>41</v>
      </c>
    </row>
    <row r="13" spans="1:7" x14ac:dyDescent="0.25">
      <c r="A13" s="2" t="s">
        <v>100</v>
      </c>
      <c r="B13" s="2" t="s">
        <v>111</v>
      </c>
      <c r="C13" s="2" t="s">
        <v>102</v>
      </c>
      <c r="D13" s="2" t="s">
        <v>112</v>
      </c>
      <c r="E13" s="2" t="s">
        <v>113</v>
      </c>
      <c r="F13" s="2" t="s">
        <v>45</v>
      </c>
    </row>
    <row r="15" spans="1:7" x14ac:dyDescent="0.25">
      <c r="A15" s="12" t="s">
        <v>114</v>
      </c>
      <c r="B15" s="10"/>
      <c r="C15" s="10"/>
      <c r="D15" s="10"/>
      <c r="E15" s="10"/>
      <c r="F15" s="10"/>
      <c r="G15" s="10"/>
    </row>
    <row r="16" spans="1:7" x14ac:dyDescent="0.25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8</v>
      </c>
    </row>
    <row r="17" spans="1:7" x14ac:dyDescent="0.25">
      <c r="A17" s="2" t="s">
        <v>90</v>
      </c>
      <c r="B17" s="2" t="s">
        <v>115</v>
      </c>
      <c r="C17" s="2" t="s">
        <v>115</v>
      </c>
      <c r="D17" s="2" t="s">
        <v>116</v>
      </c>
      <c r="E17" s="2" t="s">
        <v>117</v>
      </c>
      <c r="F17" s="2" t="s">
        <v>107</v>
      </c>
    </row>
    <row r="18" spans="1:7" x14ac:dyDescent="0.25">
      <c r="A18" s="2" t="s">
        <v>94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122</v>
      </c>
    </row>
    <row r="19" spans="1:7" x14ac:dyDescent="0.25">
      <c r="A19" s="2" t="s">
        <v>100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57</v>
      </c>
    </row>
    <row r="21" spans="1:7" x14ac:dyDescent="0.25">
      <c r="A21" s="12" t="s">
        <v>127</v>
      </c>
      <c r="B21" s="10"/>
      <c r="C21" s="10"/>
      <c r="D21" s="10"/>
      <c r="E21" s="10"/>
      <c r="F21" s="10"/>
      <c r="G21" s="10"/>
    </row>
    <row r="22" spans="1:7" x14ac:dyDescent="0.25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89</v>
      </c>
      <c r="F22" s="1" t="s">
        <v>8</v>
      </c>
    </row>
    <row r="23" spans="1:7" x14ac:dyDescent="0.25">
      <c r="A23" s="2" t="s">
        <v>90</v>
      </c>
      <c r="B23" s="2" t="s">
        <v>91</v>
      </c>
      <c r="C23" s="2" t="s">
        <v>91</v>
      </c>
      <c r="D23" s="2" t="s">
        <v>106</v>
      </c>
      <c r="E23" s="2" t="s">
        <v>93</v>
      </c>
      <c r="F23" s="2" t="s">
        <v>107</v>
      </c>
    </row>
    <row r="24" spans="1:7" x14ac:dyDescent="0.25">
      <c r="A24" s="2" t="s">
        <v>94</v>
      </c>
      <c r="B24" s="2" t="s">
        <v>95</v>
      </c>
      <c r="C24" s="2" t="s">
        <v>108</v>
      </c>
      <c r="D24" s="2" t="s">
        <v>109</v>
      </c>
      <c r="E24" s="2" t="s">
        <v>110</v>
      </c>
      <c r="F24" s="2" t="s">
        <v>65</v>
      </c>
    </row>
    <row r="25" spans="1:7" x14ac:dyDescent="0.25">
      <c r="A25" s="2" t="s">
        <v>100</v>
      </c>
      <c r="B25" s="2" t="s">
        <v>111</v>
      </c>
      <c r="C25" s="2" t="s">
        <v>102</v>
      </c>
      <c r="D25" s="2" t="s">
        <v>112</v>
      </c>
      <c r="E25" s="2" t="s">
        <v>113</v>
      </c>
      <c r="F25" s="2" t="s">
        <v>69</v>
      </c>
    </row>
  </sheetData>
  <mergeCells count="5">
    <mergeCell ref="A1:G1"/>
    <mergeCell ref="A9:G9"/>
    <mergeCell ref="A3:G3"/>
    <mergeCell ref="A21:G2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sqref="A1:F1"/>
    </sheetView>
  </sheetViews>
  <sheetFormatPr defaultRowHeight="15" x14ac:dyDescent="0.25"/>
  <cols>
    <col min="1" max="1" width="25" customWidth="1"/>
    <col min="2" max="2" width="50" customWidth="1"/>
    <col min="3" max="3" width="15" customWidth="1"/>
    <col min="4" max="4" width="25" customWidth="1"/>
  </cols>
  <sheetData>
    <row r="1" spans="1:6" x14ac:dyDescent="0.25">
      <c r="A1" s="11" t="s">
        <v>128</v>
      </c>
      <c r="B1" s="10"/>
      <c r="C1" s="10"/>
      <c r="D1" s="10"/>
      <c r="E1" s="10"/>
      <c r="F1" s="10"/>
    </row>
    <row r="3" spans="1:6" x14ac:dyDescent="0.25">
      <c r="A3" s="3" t="s">
        <v>129</v>
      </c>
      <c r="B3" s="4" t="s">
        <v>130</v>
      </c>
    </row>
    <row r="4" spans="1:6" x14ac:dyDescent="0.25">
      <c r="A4" s="3" t="s">
        <v>131</v>
      </c>
      <c r="B4" s="4" t="s">
        <v>132</v>
      </c>
    </row>
    <row r="5" spans="1:6" x14ac:dyDescent="0.25">
      <c r="A5" s="3" t="s">
        <v>133</v>
      </c>
      <c r="B5" s="4" t="s">
        <v>134</v>
      </c>
    </row>
    <row r="6" spans="1:6" x14ac:dyDescent="0.25">
      <c r="A6" s="3" t="s">
        <v>2</v>
      </c>
      <c r="B6" s="4" t="s">
        <v>3</v>
      </c>
    </row>
    <row r="7" spans="1:6" x14ac:dyDescent="0.25">
      <c r="A7" s="3" t="s">
        <v>4</v>
      </c>
      <c r="B7" s="4" t="s">
        <v>5</v>
      </c>
    </row>
    <row r="9" spans="1:6" x14ac:dyDescent="0.25">
      <c r="A9" s="13" t="s">
        <v>135</v>
      </c>
      <c r="B9" s="10"/>
      <c r="C9" s="10"/>
      <c r="D9" s="10"/>
      <c r="E9" s="10"/>
      <c r="F9" s="10"/>
    </row>
    <row r="10" spans="1:6" x14ac:dyDescent="0.25">
      <c r="A10" s="1" t="s">
        <v>136</v>
      </c>
      <c r="B10" s="1" t="s">
        <v>137</v>
      </c>
    </row>
    <row r="11" spans="1:6" x14ac:dyDescent="0.25">
      <c r="A11" s="2" t="s">
        <v>138</v>
      </c>
      <c r="B11" s="5" t="s">
        <v>139</v>
      </c>
    </row>
    <row r="12" spans="1:6" x14ac:dyDescent="0.25">
      <c r="A12" s="2" t="s">
        <v>140</v>
      </c>
      <c r="B12" s="5">
        <f>COUNTIF('Test Cases'!G6:G20,"Pass")</f>
        <v>0</v>
      </c>
    </row>
    <row r="13" spans="1:6" x14ac:dyDescent="0.25">
      <c r="A13" s="2" t="s">
        <v>141</v>
      </c>
      <c r="B13" s="5">
        <f>COUNTIF('Test Cases'!G6:G20,"Fail")</f>
        <v>0</v>
      </c>
    </row>
    <row r="14" spans="1:6" x14ac:dyDescent="0.25">
      <c r="A14" s="2" t="s">
        <v>142</v>
      </c>
      <c r="B14" s="5">
        <f>IF(B11&gt;0,B12/B11*100,0)</f>
        <v>0</v>
      </c>
    </row>
    <row r="15" spans="1:6" x14ac:dyDescent="0.25">
      <c r="A15" s="2" t="s">
        <v>143</v>
      </c>
      <c r="B15" s="5" t="s">
        <v>144</v>
      </c>
    </row>
    <row r="16" spans="1:6" x14ac:dyDescent="0.25">
      <c r="A16" s="2" t="s">
        <v>145</v>
      </c>
      <c r="B16" s="5" t="s">
        <v>146</v>
      </c>
    </row>
    <row r="17" spans="1:6" x14ac:dyDescent="0.25">
      <c r="A17" s="2" t="s">
        <v>147</v>
      </c>
      <c r="B17" s="5" t="s">
        <v>93</v>
      </c>
    </row>
    <row r="19" spans="1:6" x14ac:dyDescent="0.25">
      <c r="A19" s="13" t="s">
        <v>148</v>
      </c>
      <c r="B19" s="10"/>
      <c r="C19" s="10"/>
      <c r="D19" s="10"/>
      <c r="E19" s="10"/>
      <c r="F19" s="10"/>
    </row>
    <row r="20" spans="1:6" x14ac:dyDescent="0.25">
      <c r="A20" s="1" t="s">
        <v>149</v>
      </c>
      <c r="B20" s="1" t="s">
        <v>150</v>
      </c>
      <c r="C20" s="1" t="s">
        <v>151</v>
      </c>
    </row>
    <row r="21" spans="1:6" x14ac:dyDescent="0.25">
      <c r="A21" s="2" t="s">
        <v>152</v>
      </c>
      <c r="B21" s="2" t="s">
        <v>16</v>
      </c>
      <c r="C21" s="2" t="s">
        <v>90</v>
      </c>
    </row>
    <row r="22" spans="1:6" x14ac:dyDescent="0.25">
      <c r="A22" s="2" t="s">
        <v>153</v>
      </c>
      <c r="B22" s="2" t="s">
        <v>154</v>
      </c>
      <c r="C22" s="2" t="s">
        <v>94</v>
      </c>
    </row>
    <row r="23" spans="1:6" x14ac:dyDescent="0.25">
      <c r="A23" s="2" t="s">
        <v>155</v>
      </c>
      <c r="B23" s="2" t="s">
        <v>156</v>
      </c>
      <c r="C23" s="2" t="s">
        <v>157</v>
      </c>
    </row>
    <row r="24" spans="1:6" x14ac:dyDescent="0.25">
      <c r="A24" s="2" t="s">
        <v>158</v>
      </c>
      <c r="B24" s="2" t="s">
        <v>73</v>
      </c>
      <c r="C24" s="2" t="s">
        <v>90</v>
      </c>
    </row>
    <row r="25" spans="1:6" x14ac:dyDescent="0.25">
      <c r="A25" s="2" t="s">
        <v>159</v>
      </c>
      <c r="B25" s="2" t="s">
        <v>78</v>
      </c>
      <c r="C25" s="2" t="s">
        <v>90</v>
      </c>
    </row>
    <row r="28" spans="1:6" x14ac:dyDescent="0.25">
      <c r="A28" s="13" t="s">
        <v>160</v>
      </c>
      <c r="B28" s="10"/>
      <c r="C28" s="10"/>
      <c r="D28" s="10"/>
      <c r="E28" s="10"/>
      <c r="F28" s="10"/>
    </row>
    <row r="29" spans="1:6" ht="30" x14ac:dyDescent="0.25">
      <c r="A29" s="1" t="s">
        <v>161</v>
      </c>
      <c r="B29" s="1" t="s">
        <v>162</v>
      </c>
      <c r="C29" s="1" t="s">
        <v>163</v>
      </c>
      <c r="D29" s="1" t="s">
        <v>150</v>
      </c>
    </row>
    <row r="30" spans="1:6" x14ac:dyDescent="0.25">
      <c r="A30" s="2" t="s">
        <v>164</v>
      </c>
      <c r="B30" s="2" t="s">
        <v>165</v>
      </c>
      <c r="C30" s="2" t="s">
        <v>166</v>
      </c>
      <c r="D30" s="2" t="s">
        <v>167</v>
      </c>
    </row>
    <row r="31" spans="1:6" x14ac:dyDescent="0.25">
      <c r="A31" s="2" t="s">
        <v>168</v>
      </c>
      <c r="B31" s="2" t="s">
        <v>169</v>
      </c>
      <c r="C31" s="2" t="s">
        <v>170</v>
      </c>
      <c r="D31" s="2" t="s">
        <v>171</v>
      </c>
    </row>
    <row r="32" spans="1:6" ht="25.5" x14ac:dyDescent="0.25">
      <c r="A32" s="2" t="s">
        <v>172</v>
      </c>
      <c r="B32" s="2" t="s">
        <v>173</v>
      </c>
      <c r="C32" s="2" t="s">
        <v>174</v>
      </c>
      <c r="D32" s="2" t="s">
        <v>175</v>
      </c>
    </row>
    <row r="33" spans="1:4" x14ac:dyDescent="0.25">
      <c r="A33" s="2" t="s">
        <v>88</v>
      </c>
      <c r="B33" s="2" t="s">
        <v>169</v>
      </c>
      <c r="C33" s="2" t="s">
        <v>170</v>
      </c>
      <c r="D33" s="2" t="s">
        <v>176</v>
      </c>
    </row>
  </sheetData>
  <mergeCells count="4">
    <mergeCell ref="A19:F19"/>
    <mergeCell ref="A1:F1"/>
    <mergeCell ref="A28:F28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sqref="A1:G1"/>
    </sheetView>
  </sheetViews>
  <sheetFormatPr defaultRowHeight="15" x14ac:dyDescent="0.25"/>
  <cols>
    <col min="1" max="1" width="8" customWidth="1"/>
    <col min="2" max="2" width="12" customWidth="1"/>
    <col min="3" max="3" width="40" customWidth="1"/>
    <col min="4" max="4" width="12" customWidth="1"/>
    <col min="5" max="6" width="15" customWidth="1"/>
    <col min="7" max="7" width="30" customWidth="1"/>
  </cols>
  <sheetData>
    <row r="1" spans="1:7" x14ac:dyDescent="0.25">
      <c r="A1" s="11" t="s">
        <v>177</v>
      </c>
      <c r="B1" s="10"/>
      <c r="C1" s="10"/>
      <c r="D1" s="10"/>
      <c r="E1" s="10"/>
      <c r="F1" s="10"/>
      <c r="G1" s="10"/>
    </row>
    <row r="3" spans="1:7" ht="30" x14ac:dyDescent="0.25">
      <c r="A3" s="1" t="s">
        <v>178</v>
      </c>
      <c r="B3" s="1" t="s">
        <v>8</v>
      </c>
      <c r="C3" s="1" t="s">
        <v>179</v>
      </c>
      <c r="D3" s="1" t="s">
        <v>13</v>
      </c>
      <c r="E3" s="1" t="s">
        <v>180</v>
      </c>
      <c r="F3" s="1" t="s">
        <v>181</v>
      </c>
      <c r="G3" s="1" t="s">
        <v>15</v>
      </c>
    </row>
    <row r="4" spans="1:7" x14ac:dyDescent="0.25">
      <c r="A4" s="6"/>
      <c r="B4" s="6"/>
      <c r="C4" s="6"/>
      <c r="D4" s="6"/>
      <c r="E4" s="6"/>
      <c r="F4" s="6"/>
      <c r="G4" s="6"/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20" spans="1:7" x14ac:dyDescent="0.25">
      <c r="A20" s="12" t="s">
        <v>182</v>
      </c>
      <c r="B20" s="10"/>
      <c r="C20" s="10"/>
    </row>
    <row r="21" spans="1:7" ht="25.5" x14ac:dyDescent="0.25">
      <c r="A21" s="7" t="s">
        <v>183</v>
      </c>
      <c r="B21" s="8"/>
    </row>
    <row r="22" spans="1:7" ht="25.5" x14ac:dyDescent="0.25">
      <c r="A22" s="7" t="s">
        <v>184</v>
      </c>
      <c r="B22" s="8"/>
    </row>
    <row r="23" spans="1:7" ht="38.25" x14ac:dyDescent="0.25">
      <c r="A23" s="7" t="s">
        <v>185</v>
      </c>
      <c r="B23" s="8"/>
    </row>
    <row r="24" spans="1:7" ht="25.5" x14ac:dyDescent="0.25">
      <c r="A24" s="7" t="s">
        <v>186</v>
      </c>
      <c r="B24" s="8"/>
    </row>
    <row r="25" spans="1:7" ht="25.5" x14ac:dyDescent="0.25">
      <c r="A25" s="7" t="s">
        <v>187</v>
      </c>
      <c r="B25" s="8"/>
    </row>
  </sheetData>
  <mergeCells count="2">
    <mergeCell ref="A20:C2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BVA Analysis</vt:lpstr>
      <vt:lpstr>Báo Cáo Tóm Tắt</vt:lpstr>
      <vt:lpstr>Báo Cáo Lỗi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2026-02-03T07:45:58Z</dcterms:created>
  <dcterms:modified xsi:type="dcterms:W3CDTF">2026-02-03T07:48:59Z</dcterms:modified>
</cp:coreProperties>
</file>
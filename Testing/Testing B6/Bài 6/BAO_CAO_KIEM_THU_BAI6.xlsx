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rand\Downloads\"/>
    </mc:Choice>
  </mc:AlternateContent>
  <xr:revisionPtr revIDLastSave="0" documentId="13_ncr:1_{2BAB9368-66C3-4259-ACFB-288CBBBCD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ổng Quan" sheetId="1" r:id="rId1"/>
    <sheet name="CREATE Tests" sheetId="2" r:id="rId2"/>
    <sheet name="UPDATE Tests" sheetId="3" r:id="rId3"/>
    <sheet name="DELETE Tests" sheetId="4" r:id="rId4"/>
    <sheet name="RESET Tests" sheetId="5" r:id="rId5"/>
    <sheet name="SELECT Tests" sheetId="6" r:id="rId6"/>
    <sheet name="INTEGRATION Tests" sheetId="7" r:id="rId7"/>
    <sheet name="Bug Report" sheetId="8" r:id="rId8"/>
    <sheet name="Equivalence Partitioning" sheetId="9" r:id="rId9"/>
  </sheets>
  <calcPr calcId="181029"/>
</workbook>
</file>

<file path=xl/calcChain.xml><?xml version="1.0" encoding="utf-8"?>
<calcChain xmlns="http://schemas.openxmlformats.org/spreadsheetml/2006/main">
  <c r="F28" i="1" l="1"/>
  <c r="C28" i="1"/>
  <c r="D27" i="1"/>
  <c r="C27" i="1"/>
  <c r="F26" i="1"/>
  <c r="D26" i="1"/>
  <c r="C26" i="1"/>
  <c r="F27" i="1" s="1"/>
  <c r="F25" i="1"/>
  <c r="D25" i="1"/>
  <c r="D28" i="1" s="1"/>
  <c r="C25" i="1"/>
  <c r="D24" i="1"/>
  <c r="C24" i="1"/>
  <c r="F23" i="1"/>
  <c r="D23" i="1"/>
  <c r="C23" i="1"/>
  <c r="F24" i="1" s="1"/>
  <c r="F22" i="1"/>
  <c r="D22" i="1"/>
  <c r="C22" i="1"/>
  <c r="D18" i="1"/>
  <c r="F17" i="1"/>
  <c r="C17" i="1"/>
  <c r="F18" i="1" s="1"/>
  <c r="F16" i="1"/>
  <c r="C16" i="1"/>
  <c r="C15" i="1"/>
  <c r="F14" i="1"/>
  <c r="C14" i="1"/>
  <c r="F15" i="1" s="1"/>
  <c r="C18" i="1" l="1"/>
</calcChain>
</file>

<file path=xl/sharedStrings.xml><?xml version="1.0" encoding="utf-8"?>
<sst xmlns="http://schemas.openxmlformats.org/spreadsheetml/2006/main" count="730" uniqueCount="366">
  <si>
    <t>BÁO CÁO KIỂM THỬ - BÀI 6</t>
  </si>
  <si>
    <t>User Management System - CRUD Operations</t>
  </si>
  <si>
    <t>Tên dự án:</t>
  </si>
  <si>
    <t>User Management System</t>
  </si>
  <si>
    <t>Module:</t>
  </si>
  <si>
    <t>User CRUD Operations</t>
  </si>
  <si>
    <t>Người test:</t>
  </si>
  <si>
    <t>Your Name</t>
  </si>
  <si>
    <t>Ngày test:</t>
  </si>
  <si>
    <t>03/02/2026</t>
  </si>
  <si>
    <t>Môi trường:</t>
  </si>
  <si>
    <t>Windows 10, Java 1.8, SQL Server 2019, Maven 3.9.12</t>
  </si>
  <si>
    <t>Phiên bản:</t>
  </si>
  <si>
    <t>1.0-SNAPSHOT</t>
  </si>
  <si>
    <t>Database:</t>
  </si>
  <si>
    <t>lab6_testing</t>
  </si>
  <si>
    <t>TÓM TẮT KẾT QUẢ KIỂM THỬ</t>
  </si>
  <si>
    <t>Loại Test</t>
  </si>
  <si>
    <t>Tổng số TC</t>
  </si>
  <si>
    <t>Passed</t>
  </si>
  <si>
    <t>Failed</t>
  </si>
  <si>
    <t>Blocked</t>
  </si>
  <si>
    <t>Pass Rate (%)</t>
  </si>
  <si>
    <t>Positive Testing</t>
  </si>
  <si>
    <t>17</t>
  </si>
  <si>
    <t>Negative Testing</t>
  </si>
  <si>
    <t>23</t>
  </si>
  <si>
    <t>Boundary Value</t>
  </si>
  <si>
    <t>10</t>
  </si>
  <si>
    <t>Integration Testing</t>
  </si>
  <si>
    <t>5</t>
  </si>
  <si>
    <t>TỔNG CỘNG</t>
  </si>
  <si>
    <t>50</t>
  </si>
  <si>
    <t>PHÂN LOẠI THEO CHỨC NĂNG</t>
  </si>
  <si>
    <t>CREATE</t>
  </si>
  <si>
    <t>30</t>
  </si>
  <si>
    <t>UPDATE</t>
  </si>
  <si>
    <t>7</t>
  </si>
  <si>
    <t>DELETE</t>
  </si>
  <si>
    <t>4</t>
  </si>
  <si>
    <t>RESET</t>
  </si>
  <si>
    <t>2</t>
  </si>
  <si>
    <t>SELECT</t>
  </si>
  <si>
    <t>INTEGRATION</t>
  </si>
  <si>
    <t>PHÂN LOẠI THEO ĐỘ ƯU TIÊN</t>
  </si>
  <si>
    <t>Critical</t>
  </si>
  <si>
    <t>15</t>
  </si>
  <si>
    <t>High</t>
  </si>
  <si>
    <t>20</t>
  </si>
  <si>
    <t>Medium</t>
  </si>
  <si>
    <t>Low</t>
  </si>
  <si>
    <t>CREATE FUNCTION - 30 TEST CASES</t>
  </si>
  <si>
    <t>TC ID</t>
  </si>
  <si>
    <t>Mô tả</t>
  </si>
  <si>
    <t>Username</t>
  </si>
  <si>
    <t>Password</t>
  </si>
  <si>
    <t>Fullname</t>
  </si>
  <si>
    <t>Role</t>
  </si>
  <si>
    <t>Email</t>
  </si>
  <si>
    <t>Kết quả mong đợi</t>
  </si>
  <si>
    <t>Result</t>
  </si>
  <si>
    <t>Note</t>
  </si>
  <si>
    <t>TC_001</t>
  </si>
  <si>
    <t>Thêm user hợp lệ đầy đủ</t>
  </si>
  <si>
    <t>Positive</t>
  </si>
  <si>
    <t>newuser</t>
  </si>
  <si>
    <t>pass123</t>
  </si>
  <si>
    <t>Nguyễn Văn A</t>
  </si>
  <si>
    <t>User</t>
  </si>
  <si>
    <t>newuser@gmail.com</t>
  </si>
  <si>
    <t>✅ Thêm thành công</t>
  </si>
  <si>
    <t>TC_002</t>
  </si>
  <si>
    <t>Username rỗng</t>
  </si>
  <si>
    <t>Negative</t>
  </si>
  <si>
    <t>(empty)</t>
  </si>
  <si>
    <t>test@gmail.com</t>
  </si>
  <si>
    <t>❌ Username is required!</t>
  </si>
  <si>
    <t>TC_003</t>
  </si>
  <si>
    <t>Username quá ngắn (&lt;3)</t>
  </si>
  <si>
    <t>Boundary</t>
  </si>
  <si>
    <t>ab</t>
  </si>
  <si>
    <t>❌ Username must be 3-50 characters!</t>
  </si>
  <si>
    <t>TC_004</t>
  </si>
  <si>
    <t>Username đúng 3 ký tự</t>
  </si>
  <si>
    <t>abc</t>
  </si>
  <si>
    <t>abc@gmail.com</t>
  </si>
  <si>
    <t>TC_005</t>
  </si>
  <si>
    <t>Username đúng 50 ký tự</t>
  </si>
  <si>
    <t>[50 chars]</t>
  </si>
  <si>
    <t>test50@gmail.com</t>
  </si>
  <si>
    <t>TC_006</t>
  </si>
  <si>
    <t>Username quá dài (&gt;50)</t>
  </si>
  <si>
    <t>[51 chars]</t>
  </si>
  <si>
    <t>TC_007</t>
  </si>
  <si>
    <t>Username có khoảng trắng</t>
  </si>
  <si>
    <t>user name</t>
  </si>
  <si>
    <t>❌ Username can only contain letters, numbers, underscores!</t>
  </si>
  <si>
    <t>TC_008</t>
  </si>
  <si>
    <t>Username có ký tự đặc biệt</t>
  </si>
  <si>
    <t>user@123</t>
  </si>
  <si>
    <t>TC_009</t>
  </si>
  <si>
    <t>Username trùng lặp</t>
  </si>
  <si>
    <t>admin</t>
  </si>
  <si>
    <t>Nguyễn Văn B</t>
  </si>
  <si>
    <t>❌ Username already exists!</t>
  </si>
  <si>
    <t>TC_010</t>
  </si>
  <si>
    <t>Password rỗng</t>
  </si>
  <si>
    <t>newuser2</t>
  </si>
  <si>
    <t>test2@gmail.com</t>
  </si>
  <si>
    <t>❌ Password is required!</t>
  </si>
  <si>
    <t>TC_011</t>
  </si>
  <si>
    <t>Password quá ngắn (&lt;3)</t>
  </si>
  <si>
    <t>newuser3</t>
  </si>
  <si>
    <t>12</t>
  </si>
  <si>
    <t>test3@gmail.com</t>
  </si>
  <si>
    <t>❌ Password must be at least 3 characters!</t>
  </si>
  <si>
    <t>TC_012</t>
  </si>
  <si>
    <t>Password đúng 3 ký tự</t>
  </si>
  <si>
    <t>newuser4</t>
  </si>
  <si>
    <t>123</t>
  </si>
  <si>
    <t>test4@gmail.com</t>
  </si>
  <si>
    <t>TC_013</t>
  </si>
  <si>
    <t>Password đúng 100 ký tự</t>
  </si>
  <si>
    <t>newuser5</t>
  </si>
  <si>
    <t>[100 chars]</t>
  </si>
  <si>
    <t>test5@gmail.com</t>
  </si>
  <si>
    <t>TC_014</t>
  </si>
  <si>
    <t>Password quá dài (&gt;100)</t>
  </si>
  <si>
    <t>newuser6</t>
  </si>
  <si>
    <t>[101 chars]</t>
  </si>
  <si>
    <t>test6@gmail.com</t>
  </si>
  <si>
    <t>❌ Password must not exceed 100 characters!</t>
  </si>
  <si>
    <t>TC_015</t>
  </si>
  <si>
    <t>Fullname rỗng</t>
  </si>
  <si>
    <t>newuser7</t>
  </si>
  <si>
    <t>test7@gmail.com</t>
  </si>
  <si>
    <t>❌ Fullname is required!</t>
  </si>
  <si>
    <t>TC_016</t>
  </si>
  <si>
    <t>Fullname đúng 1 ký tự</t>
  </si>
  <si>
    <t>newuser8</t>
  </si>
  <si>
    <t>A</t>
  </si>
  <si>
    <t>test8@gmail.com</t>
  </si>
  <si>
    <t>TC_017</t>
  </si>
  <si>
    <t>Fullname đúng 100 ký tự</t>
  </si>
  <si>
    <t>newuser9</t>
  </si>
  <si>
    <t>test9@gmail.com</t>
  </si>
  <si>
    <t>TC_018</t>
  </si>
  <si>
    <t>Fullname quá dài (&gt;100)</t>
  </si>
  <si>
    <t>newuser10</t>
  </si>
  <si>
    <t>test10@gmail.com</t>
  </si>
  <si>
    <t>❌ Fullname must not exceed 100 characters!</t>
  </si>
  <si>
    <t>TC_019</t>
  </si>
  <si>
    <t>Role không chọn</t>
  </si>
  <si>
    <t>newuser11</t>
  </si>
  <si>
    <t>test11@gmail.com</t>
  </si>
  <si>
    <t>❌ Role is required!</t>
  </si>
  <si>
    <t>TC_020</t>
  </si>
  <si>
    <t>Role = Admin</t>
  </si>
  <si>
    <t>newuser12</t>
  </si>
  <si>
    <t>Admin</t>
  </si>
  <si>
    <t>test12@gmail.com</t>
  </si>
  <si>
    <t>TC_021</t>
  </si>
  <si>
    <t>Role = User</t>
  </si>
  <si>
    <t>newuser13</t>
  </si>
  <si>
    <t>test13@gmail.com</t>
  </si>
  <si>
    <t>TC_022</t>
  </si>
  <si>
    <t>Role = Manager</t>
  </si>
  <si>
    <t>newuser14</t>
  </si>
  <si>
    <t>Manager</t>
  </si>
  <si>
    <t>test14@gmail.com</t>
  </si>
  <si>
    <t>TC_023</t>
  </si>
  <si>
    <t>Role = Guest</t>
  </si>
  <si>
    <t>newuser15</t>
  </si>
  <si>
    <t>Guest</t>
  </si>
  <si>
    <t>test15@gmail.com</t>
  </si>
  <si>
    <t>TC_024</t>
  </si>
  <si>
    <t>Email rỗng</t>
  </si>
  <si>
    <t>newuser16</t>
  </si>
  <si>
    <t>❌ Email is required!</t>
  </si>
  <si>
    <t>TC_025</t>
  </si>
  <si>
    <t>Email không có @</t>
  </si>
  <si>
    <t>newuser17</t>
  </si>
  <si>
    <t>testgmail.com</t>
  </si>
  <si>
    <t>❌ Invalid email format!</t>
  </si>
  <si>
    <t>TC_026</t>
  </si>
  <si>
    <t>Email thiếu domain</t>
  </si>
  <si>
    <t>newuser18</t>
  </si>
  <si>
    <t>test@</t>
  </si>
  <si>
    <t>TC_027</t>
  </si>
  <si>
    <t>Email thiếu local part</t>
  </si>
  <si>
    <t>newuser19</t>
  </si>
  <si>
    <t>@gmail.com</t>
  </si>
  <si>
    <t>TC_028</t>
  </si>
  <si>
    <t>Email trùng lặp</t>
  </si>
  <si>
    <t>newuser20</t>
  </si>
  <si>
    <t>admin@gmail.com</t>
  </si>
  <si>
    <t>❌ Email already exists!</t>
  </si>
  <si>
    <t>TC_029</t>
  </si>
  <si>
    <t>Email hợp lệ với subdomain</t>
  </si>
  <si>
    <t>newuser21</t>
  </si>
  <si>
    <t>test@mail.fpt.edu.vn</t>
  </si>
  <si>
    <t>TC_030</t>
  </si>
  <si>
    <t>Tất cả trường hợp lệ (Unicode)</t>
  </si>
  <si>
    <t>newuser22</t>
  </si>
  <si>
    <t>pass@123</t>
  </si>
  <si>
    <t>Trần Thị Bình</t>
  </si>
  <si>
    <t>binhtt@fpt.edu.vn</t>
  </si>
  <si>
    <t>UPDATE FUNCTION - 7 TEST CASES</t>
  </si>
  <si>
    <t>Thao tác</t>
  </si>
  <si>
    <t>Priority</t>
  </si>
  <si>
    <t>TC_031</t>
  </si>
  <si>
    <t>Cập nhật thông tin hợp lệ</t>
  </si>
  <si>
    <t>Chọn user, sửa fullname → Update</t>
  </si>
  <si>
    <t>✅ Cập nhật thành công, dữ liệu thay đổi</t>
  </si>
  <si>
    <t>TC_032</t>
  </si>
  <si>
    <t>Cập nhật không chọn user</t>
  </si>
  <si>
    <t>Không chọn user → Click Update</t>
  </si>
  <si>
    <t>❌ Please select a user to update!</t>
  </si>
  <si>
    <t>TC_033</t>
  </si>
  <si>
    <t>Cập nhật username trùng</t>
  </si>
  <si>
    <t>Chọn user01, đổi username thành "admin" → Update</t>
  </si>
  <si>
    <t>TC_034</t>
  </si>
  <si>
    <t>Cập nhật email trùng</t>
  </si>
  <si>
    <t>Chọn user01, đổi email thành email của user khác → Update</t>
  </si>
  <si>
    <t>TC_035</t>
  </si>
  <si>
    <t>Cập nhật password mới</t>
  </si>
  <si>
    <t>Chọn user, đổi password → Update</t>
  </si>
  <si>
    <t>✅ Password được mã hóa và lưu</t>
  </si>
  <si>
    <t>TC_036</t>
  </si>
  <si>
    <t>Cập nhật role</t>
  </si>
  <si>
    <t>Chọn user, đổi role từ User → Admin → Update</t>
  </si>
  <si>
    <t>✅ Role được cập nhật</t>
  </si>
  <si>
    <t>TC_037</t>
  </si>
  <si>
    <t>Cập nhật với dữ liệu không hợp lệ</t>
  </si>
  <si>
    <t>Chọn user, xóa username → Update</t>
  </si>
  <si>
    <t>❌ Hiển thị lỗi validation</t>
  </si>
  <si>
    <t>DELETE FUNCTION - 4 TEST CASES</t>
  </si>
  <si>
    <t>TC_038</t>
  </si>
  <si>
    <t>Xóa user đã chọn (có confirm)</t>
  </si>
  <si>
    <t>Chọn user → Delete → Confirm Yes</t>
  </si>
  <si>
    <t>✅ User bị xóa khỏi database</t>
  </si>
  <si>
    <t>TC_039</t>
  </si>
  <si>
    <t>Xóa user đã chọn (cancel confirm)</t>
  </si>
  <si>
    <t>Chọn user → Delete → Cancel</t>
  </si>
  <si>
    <t>✅ User không bị xóa</t>
  </si>
  <si>
    <t>TC_040</t>
  </si>
  <si>
    <t>Xóa không chọn user</t>
  </si>
  <si>
    <t>Không chọn user → Click Delete</t>
  </si>
  <si>
    <t>❌ Please select a user to delete!</t>
  </si>
  <si>
    <t>TC_041</t>
  </si>
  <si>
    <t>Xóa và refresh danh sách</t>
  </si>
  <si>
    <t>Xóa user → Kiểm tra table</t>
  </si>
  <si>
    <t>✅ User không còn trong table</t>
  </si>
  <si>
    <t>RESET FUNCTION - 2 TEST CASES</t>
  </si>
  <si>
    <t>TC_042</t>
  </si>
  <si>
    <t>Reset form đang nhập</t>
  </si>
  <si>
    <t>Nhập dữ liệu → Click Reset</t>
  </si>
  <si>
    <t>✅ Tất cả trường bị xóa trắng</t>
  </si>
  <si>
    <t>TC_043</t>
  </si>
  <si>
    <t>Reset form đang chọn user</t>
  </si>
  <si>
    <t>Chọn user từ table → Click Reset</t>
  </si>
  <si>
    <t>✅ Form xóa trắng, bỏ chọn selection</t>
  </si>
  <si>
    <t>SELECT FUNCTION - 2 TEST CASES</t>
  </si>
  <si>
    <t>TC_044</t>
  </si>
  <si>
    <t>Chọn user từ table</t>
  </si>
  <si>
    <t>Click vào dòng user trong table</t>
  </si>
  <si>
    <t>✅ Thông tin hiển thị đầy đủ trên form</t>
  </si>
  <si>
    <t>TC_045</t>
  </si>
  <si>
    <t>Chọn user khác</t>
  </si>
  <si>
    <t>Chọn user A, sau đó chọn user B</t>
  </si>
  <si>
    <t>✅ Form hiển thị thông tin user B</t>
  </si>
  <si>
    <t>INTEGRATION TESTING - 5 TEST CASES</t>
  </si>
  <si>
    <t>TC_046</t>
  </si>
  <si>
    <t>Kết nối database thành công</t>
  </si>
  <si>
    <t>Integration</t>
  </si>
  <si>
    <t>Mở ứng dụng</t>
  </si>
  <si>
    <t>✅ Danh sách user load từ DB</t>
  </si>
  <si>
    <t>TC_047</t>
  </si>
  <si>
    <t>Kết nối database thất bại</t>
  </si>
  <si>
    <t>Tắt SQL Server → Mở app</t>
  </si>
  <si>
    <t>❌ Hiển thị lỗi kết nối rõ ràng</t>
  </si>
  <si>
    <t>TC_048</t>
  </si>
  <si>
    <t>Đồng bộ dữ liệu sau CRUD</t>
  </si>
  <si>
    <t>Create/Update/Delete → Kiểm tra table</t>
  </si>
  <si>
    <t>✅ Table tự động refresh</t>
  </si>
  <si>
    <t>TC_049</t>
  </si>
  <si>
    <t>Transaction rollback khi lỗi</t>
  </si>
  <si>
    <t>Insert với dữ liệu conflict → Lỗi</t>
  </si>
  <si>
    <t>✅ Database không thay đổi</t>
  </si>
  <si>
    <t>TC_050</t>
  </si>
  <si>
    <t>Hiển thị danh sách rỗng</t>
  </si>
  <si>
    <t>Xóa hết users</t>
  </si>
  <si>
    <t>✅ Table trống, không lỗi</t>
  </si>
  <si>
    <t>BẢNG TÓM TẮT LỖI - BÀI 6</t>
  </si>
  <si>
    <t>PHÂN LOẠI THEO MỨC ĐỘ NGHIÊM TRỌNG</t>
  </si>
  <si>
    <t>Mức độ</t>
  </si>
  <si>
    <t>Số lượng</t>
  </si>
  <si>
    <t>Ví dụ</t>
  </si>
  <si>
    <t>0</t>
  </si>
  <si>
    <t>Ứng dụng crash, mất dữ liệu</t>
  </si>
  <si>
    <t>-</t>
  </si>
  <si>
    <t>Chức năng chính không hoạt động</t>
  </si>
  <si>
    <t>Validation sai, logic lỗi</t>
  </si>
  <si>
    <t>Lỗi giao diện, thông báo</t>
  </si>
  <si>
    <t>PHÂN LOẠI THEO TRẠNG THÁI</t>
  </si>
  <si>
    <t>Trạng thái</t>
  </si>
  <si>
    <t xml:space="preserve">% </t>
  </si>
  <si>
    <t>New</t>
  </si>
  <si>
    <t>0%</t>
  </si>
  <si>
    <t>Open</t>
  </si>
  <si>
    <t>In Progress</t>
  </si>
  <si>
    <t>Fixed</t>
  </si>
  <si>
    <t>Reopen</t>
  </si>
  <si>
    <t>Closed</t>
  </si>
  <si>
    <t>CHI TIẾT LỖI (DETAILED BUG REPORT)</t>
  </si>
  <si>
    <t>Bug ID</t>
  </si>
  <si>
    <t>Test ID</t>
  </si>
  <si>
    <t>Severity</t>
  </si>
  <si>
    <t>Mô tả lỗi</t>
  </si>
  <si>
    <t>Bước tái hiện</t>
  </si>
  <si>
    <t>Actual Result</t>
  </si>
  <si>
    <t>Expected Result</t>
  </si>
  <si>
    <t>Status</t>
  </si>
  <si>
    <t>Assigned To</t>
  </si>
  <si>
    <t>Ghi chú</t>
  </si>
  <si>
    <t>PHÂN TÍCH EQUIVALENCE PARTITIONING - BÀI 6</t>
  </si>
  <si>
    <t>TRƯỜNG: USERNAME (VARCHAR 50)</t>
  </si>
  <si>
    <t>Partition</t>
  </si>
  <si>
    <t>Valid/Invalid</t>
  </si>
  <si>
    <t>Giá trị mẫu</t>
  </si>
  <si>
    <t>Test Cases</t>
  </si>
  <si>
    <t>P1</t>
  </si>
  <si>
    <t>Valid</t>
  </si>
  <si>
    <t>user123</t>
  </si>
  <si>
    <t>3-50 ký tự, định dạng hợp lệ</t>
  </si>
  <si>
    <t>TC_001, TC_004, TC_005</t>
  </si>
  <si>
    <t>P2</t>
  </si>
  <si>
    <t>Invalid</t>
  </si>
  <si>
    <t>&lt; 3 ký tự</t>
  </si>
  <si>
    <t>P3</t>
  </si>
  <si>
    <t>&gt; 50 ký tự</t>
  </si>
  <si>
    <t>P4</t>
  </si>
  <si>
    <t>Có khoảng trắng</t>
  </si>
  <si>
    <t>P5</t>
  </si>
  <si>
    <t>Có ký tự đặc biệt</t>
  </si>
  <si>
    <t>P6</t>
  </si>
  <si>
    <t>Rỗng</t>
  </si>
  <si>
    <t>P7</t>
  </si>
  <si>
    <t>Trùng lặp</t>
  </si>
  <si>
    <t>TRƯỜNG: PASSWORD (VARCHAR 100)</t>
  </si>
  <si>
    <t>3-100 ký tự</t>
  </si>
  <si>
    <t>TC_001, TC_012, TC_013</t>
  </si>
  <si>
    <t>&gt; 100 ký tự</t>
  </si>
  <si>
    <t>TRƯỜNG: FULLNAME (NVARCHAR 100)</t>
  </si>
  <si>
    <t>1-100 ký tự, Unicode</t>
  </si>
  <si>
    <t>TC_001, TC_016, TC_017</t>
  </si>
  <si>
    <t>TRƯỜNG: ROLE (VARCHAR 20)</t>
  </si>
  <si>
    <t>Giá trị hợp lệ</t>
  </si>
  <si>
    <t>Chưa chọn</t>
  </si>
  <si>
    <t>TRƯỜNG: EMAIL (VARCHAR 100)</t>
  </si>
  <si>
    <t>user@gmail.com</t>
  </si>
  <si>
    <t>Email hợp lệ</t>
  </si>
  <si>
    <t>TC_001, TC_029</t>
  </si>
  <si>
    <t>Thiếu @</t>
  </si>
  <si>
    <t>Thiếu domain</t>
  </si>
  <si>
    <t>Thiếu local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</si>
</sst>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/>
    <xf numFmtId="0" fontId="4" fillId="0" borderId="0" xfId="0" applyFont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17" workbookViewId="0">
      <selection sqref="A1:H1"/>
    </sheetView>
  </sheetViews>
  <sheetFormatPr defaultRowHeight="15" x14ac:dyDescent="0.25"/>
  <cols>
    <col min="1" max="1" width="25" customWidth="1"/>
    <col min="2" max="2" width="15" customWidth="1"/>
    <col min="3" max="5" width="12" customWidth="1"/>
    <col min="6" max="6" width="15" customWidth="1"/>
  </cols>
  <sheetData>
    <row r="1" spans="1:8" x14ac:dyDescent="0.25">
      <c r="A1" s="13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12" t="s">
        <v>1</v>
      </c>
      <c r="B2" s="10"/>
      <c r="C2" s="10"/>
      <c r="D2" s="10"/>
      <c r="E2" s="10"/>
      <c r="F2" s="10"/>
      <c r="G2" s="10"/>
      <c r="H2" s="10"/>
    </row>
    <row r="4" spans="1:8" x14ac:dyDescent="0.25">
      <c r="A4" s="1" t="s">
        <v>2</v>
      </c>
      <c r="B4" s="11" t="s">
        <v>3</v>
      </c>
      <c r="C4" s="10"/>
      <c r="D4" s="10"/>
      <c r="E4" s="10"/>
      <c r="F4" s="10"/>
      <c r="G4" s="10"/>
      <c r="H4" s="10"/>
    </row>
    <row r="5" spans="1:8" x14ac:dyDescent="0.25">
      <c r="A5" s="1" t="s">
        <v>4</v>
      </c>
      <c r="B5" s="11" t="s">
        <v>5</v>
      </c>
      <c r="C5" s="10"/>
      <c r="D5" s="10"/>
      <c r="E5" s="10"/>
      <c r="F5" s="10"/>
      <c r="G5" s="10"/>
      <c r="H5" s="10"/>
    </row>
    <row r="6" spans="1:8" x14ac:dyDescent="0.25">
      <c r="A6" s="1" t="s">
        <v>6</v>
      </c>
      <c r="B6" s="11" t="s">
        <v>7</v>
      </c>
      <c r="C6" s="10"/>
      <c r="D6" s="10"/>
      <c r="E6" s="10"/>
      <c r="F6" s="10"/>
      <c r="G6" s="10"/>
      <c r="H6" s="10"/>
    </row>
    <row r="7" spans="1:8" x14ac:dyDescent="0.25">
      <c r="A7" s="1" t="s">
        <v>8</v>
      </c>
      <c r="B7" s="11" t="s">
        <v>9</v>
      </c>
      <c r="C7" s="10"/>
      <c r="D7" s="10"/>
      <c r="E7" s="10"/>
      <c r="F7" s="10"/>
      <c r="G7" s="10"/>
      <c r="H7" s="10"/>
    </row>
    <row r="8" spans="1:8" x14ac:dyDescent="0.25">
      <c r="A8" s="1" t="s">
        <v>10</v>
      </c>
      <c r="B8" s="11" t="s">
        <v>11</v>
      </c>
      <c r="C8" s="10"/>
      <c r="D8" s="10"/>
      <c r="E8" s="10"/>
      <c r="F8" s="10"/>
      <c r="G8" s="10"/>
      <c r="H8" s="10"/>
    </row>
    <row r="9" spans="1:8" x14ac:dyDescent="0.25">
      <c r="A9" s="1" t="s">
        <v>12</v>
      </c>
      <c r="B9" s="11" t="s">
        <v>13</v>
      </c>
      <c r="C9" s="10"/>
      <c r="D9" s="10"/>
      <c r="E9" s="10"/>
      <c r="F9" s="10"/>
      <c r="G9" s="10"/>
      <c r="H9" s="10"/>
    </row>
    <row r="10" spans="1:8" x14ac:dyDescent="0.25">
      <c r="A10" s="1" t="s">
        <v>14</v>
      </c>
      <c r="B10" s="11" t="s">
        <v>15</v>
      </c>
      <c r="C10" s="10"/>
      <c r="D10" s="10"/>
      <c r="E10" s="10"/>
      <c r="F10" s="10"/>
      <c r="G10" s="10"/>
      <c r="H10" s="10"/>
    </row>
    <row r="12" spans="1:8" x14ac:dyDescent="0.25">
      <c r="A12" s="9" t="s">
        <v>16</v>
      </c>
      <c r="B12" s="10"/>
      <c r="C12" s="10"/>
      <c r="D12" s="10"/>
      <c r="E12" s="10"/>
      <c r="F12" s="10"/>
      <c r="G12" s="10"/>
      <c r="H12" s="10"/>
    </row>
    <row r="13" spans="1:8" ht="30" x14ac:dyDescent="0.25">
      <c r="A13" s="2" t="s">
        <v>17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</row>
    <row r="14" spans="1:8" x14ac:dyDescent="0.25">
      <c r="A14" s="3" t="s">
        <v>23</v>
      </c>
      <c r="B14" s="3" t="s">
        <v>24</v>
      </c>
      <c r="C14" s="3">
        <f>COUNTIFS('CREATE Tests'!H6:H20,"Pass",'CREATE Tests'!C6:C20,"Positive")+COUNTIFS('UPDATE Tests'!H6:H12,"Pass",'UPDATE Tests'!C6:C12,"Positive")+COUNTIFS('DELETE Tests'!H6:H9,"Pass")+COUNTIFS('RESET Tests'!H6:H7,"Pass")+COUNTIFS('SELECT Tests'!H6:H7,"Pass")</f>
        <v>0</v>
      </c>
      <c r="D14" s="3"/>
      <c r="E14" s="3"/>
      <c r="F14" s="3" t="e">
        <f>IF(B13&gt;0,C13/B13*100,0)</f>
        <v>#VALUE!</v>
      </c>
    </row>
    <row r="15" spans="1:8" x14ac:dyDescent="0.25">
      <c r="A15" s="3" t="s">
        <v>25</v>
      </c>
      <c r="B15" s="3" t="s">
        <v>26</v>
      </c>
      <c r="C15" s="3">
        <f>COUNTIFS('CREATE Tests'!H6:H35,"Pass",'CREATE Tests'!C6:C35,"Negative")+COUNTIFS('UPDATE Tests'!H6:H12,"Pass",'UPDATE Tests'!C6:C12,"Negative")+COUNTIFS('DELETE Tests'!H6:H9,"Pass",'DELETE Tests'!C6:C9,"Negative")</f>
        <v>0</v>
      </c>
      <c r="D15" s="3"/>
      <c r="E15" s="3"/>
      <c r="F15" s="3">
        <f>IF(B14&gt;0,C14/B14*100,0)</f>
        <v>0</v>
      </c>
    </row>
    <row r="16" spans="1:8" x14ac:dyDescent="0.25">
      <c r="A16" s="3" t="s">
        <v>27</v>
      </c>
      <c r="B16" s="3" t="s">
        <v>28</v>
      </c>
      <c r="C16" s="3">
        <f>COUNTIFS('CREATE Tests'!H6:H35,"Pass",'CREATE Tests'!C6:C35,"Boundary")</f>
        <v>0</v>
      </c>
      <c r="D16" s="3"/>
      <c r="E16" s="3"/>
      <c r="F16" s="3">
        <f>IF(B15&gt;0,C15/B15*100,0)</f>
        <v>0</v>
      </c>
    </row>
    <row r="17" spans="1:8" x14ac:dyDescent="0.25">
      <c r="A17" s="3" t="s">
        <v>29</v>
      </c>
      <c r="B17" s="3" t="s">
        <v>30</v>
      </c>
      <c r="C17" s="3">
        <f>COUNTIF('INTEGRATION Tests'!H6:H10,"Pass")</f>
        <v>0</v>
      </c>
      <c r="D17" s="3"/>
      <c r="E17" s="3"/>
      <c r="F17" s="3">
        <f>IF(B16&gt;0,C16/B16*100,0)</f>
        <v>0</v>
      </c>
    </row>
    <row r="18" spans="1:8" x14ac:dyDescent="0.25">
      <c r="A18" s="4" t="s">
        <v>31</v>
      </c>
      <c r="B18" s="4" t="s">
        <v>32</v>
      </c>
      <c r="C18" s="4">
        <f>SUM(C13:C16)</f>
        <v>0</v>
      </c>
      <c r="D18" s="4">
        <f>COUNTIF('CREATE Tests'!H6:H35,"Fail")+COUNTIF('UPDATE Tests'!H6:H12,"Fail")+COUNTIF('DELETE Tests'!H6:H9,"Fail")+COUNTIF('RESET Tests'!H6:H7,"Fail")+COUNTIF('SELECT Tests'!H6:H7,"Fail")+COUNTIF('INTEGRATION Tests'!H6:H10,"Fail")</f>
        <v>0</v>
      </c>
      <c r="E18" s="4"/>
      <c r="F18" s="4">
        <f>IF(B17&gt;0,C17/B17*100,0)</f>
        <v>0</v>
      </c>
    </row>
    <row r="20" spans="1:8" x14ac:dyDescent="0.25">
      <c r="A20" s="9" t="s">
        <v>33</v>
      </c>
      <c r="B20" s="10"/>
      <c r="C20" s="10"/>
      <c r="D20" s="10"/>
      <c r="E20" s="10"/>
      <c r="F20" s="10"/>
      <c r="G20" s="10"/>
      <c r="H20" s="10"/>
    </row>
    <row r="21" spans="1:8" ht="30" x14ac:dyDescent="0.25">
      <c r="A21" s="2" t="s">
        <v>17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</row>
    <row r="22" spans="1:8" x14ac:dyDescent="0.25">
      <c r="A22" s="3" t="s">
        <v>34</v>
      </c>
      <c r="B22" s="3" t="s">
        <v>35</v>
      </c>
      <c r="C22" s="3">
        <f>COUNTIF('CREATE Tests'!H6:H35,"Pass")</f>
        <v>0</v>
      </c>
      <c r="D22" s="3">
        <f>COUNTIF('CREATE Tests'!H6:H35,"Fail")</f>
        <v>0</v>
      </c>
      <c r="E22" s="3"/>
      <c r="F22" s="3" t="e">
        <f t="shared" ref="F22:F28" si="0">IF(B21&gt;0,C21/B21*100,0)</f>
        <v>#VALUE!</v>
      </c>
    </row>
    <row r="23" spans="1:8" x14ac:dyDescent="0.25">
      <c r="A23" s="3" t="s">
        <v>36</v>
      </c>
      <c r="B23" s="3" t="s">
        <v>37</v>
      </c>
      <c r="C23" s="3">
        <f>COUNTIF('UPDATE Tests'!H6:H12,"Pass")</f>
        <v>0</v>
      </c>
      <c r="D23" s="3">
        <f>COUNTIF('UPDATE Tests'!H6:H12,"Fail")</f>
        <v>0</v>
      </c>
      <c r="E23" s="3"/>
      <c r="F23" s="3">
        <f t="shared" si="0"/>
        <v>0</v>
      </c>
    </row>
    <row r="24" spans="1:8" x14ac:dyDescent="0.25">
      <c r="A24" s="3" t="s">
        <v>38</v>
      </c>
      <c r="B24" s="3" t="s">
        <v>39</v>
      </c>
      <c r="C24" s="3">
        <f>COUNTIF('DELETE Tests'!H6:H9,"Pass")</f>
        <v>0</v>
      </c>
      <c r="D24" s="3">
        <f>COUNTIF('DELETE Tests'!H6:H9,"Fail")</f>
        <v>0</v>
      </c>
      <c r="E24" s="3"/>
      <c r="F24" s="3">
        <f t="shared" si="0"/>
        <v>0</v>
      </c>
    </row>
    <row r="25" spans="1:8" x14ac:dyDescent="0.25">
      <c r="A25" s="3" t="s">
        <v>40</v>
      </c>
      <c r="B25" s="3" t="s">
        <v>41</v>
      </c>
      <c r="C25" s="3">
        <f>COUNTIF('RESET Tests'!H6:H7,"Pass")</f>
        <v>0</v>
      </c>
      <c r="D25" s="3">
        <f>COUNTIF('RESET Tests'!H6:H7,"Fail")</f>
        <v>0</v>
      </c>
      <c r="E25" s="3"/>
      <c r="F25" s="3">
        <f t="shared" si="0"/>
        <v>0</v>
      </c>
    </row>
    <row r="26" spans="1:8" x14ac:dyDescent="0.25">
      <c r="A26" s="3" t="s">
        <v>42</v>
      </c>
      <c r="B26" s="3" t="s">
        <v>41</v>
      </c>
      <c r="C26" s="3">
        <f>COUNTIF('SELECT Tests'!H6:H7,"Pass")</f>
        <v>0</v>
      </c>
      <c r="D26" s="3">
        <f>COUNTIF('SELECT Tests'!H6:H7,"Fail")</f>
        <v>0</v>
      </c>
      <c r="E26" s="3"/>
      <c r="F26" s="3">
        <f t="shared" si="0"/>
        <v>0</v>
      </c>
    </row>
    <row r="27" spans="1:8" x14ac:dyDescent="0.25">
      <c r="A27" s="3" t="s">
        <v>43</v>
      </c>
      <c r="B27" s="3" t="s">
        <v>30</v>
      </c>
      <c r="C27" s="3">
        <f>COUNTIF('INTEGRATION Tests'!H6:H10,"Pass")</f>
        <v>0</v>
      </c>
      <c r="D27" s="3">
        <f>COUNTIF('INTEGRATION Tests'!H6:H10,"Fail")</f>
        <v>0</v>
      </c>
      <c r="E27" s="3"/>
      <c r="F27" s="3">
        <f t="shared" si="0"/>
        <v>0</v>
      </c>
    </row>
    <row r="28" spans="1:8" x14ac:dyDescent="0.25">
      <c r="A28" s="4" t="s">
        <v>31</v>
      </c>
      <c r="B28" s="4" t="s">
        <v>32</v>
      </c>
      <c r="C28" s="4">
        <f>SUM(C21:C26)</f>
        <v>0</v>
      </c>
      <c r="D28" s="4">
        <f>SUM(D21:D26)</f>
        <v>0</v>
      </c>
      <c r="E28" s="4"/>
      <c r="F28" s="4">
        <f t="shared" si="0"/>
        <v>0</v>
      </c>
    </row>
    <row r="30" spans="1:8" x14ac:dyDescent="0.25">
      <c r="A30" s="9" t="s">
        <v>44</v>
      </c>
      <c r="B30" s="10"/>
      <c r="C30" s="10"/>
      <c r="D30" s="10"/>
      <c r="E30" s="10"/>
      <c r="F30" s="10"/>
      <c r="G30" s="10"/>
      <c r="H30" s="10"/>
    </row>
    <row r="31" spans="1:8" ht="30" x14ac:dyDescent="0.25">
      <c r="A31" s="2" t="s">
        <v>17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</row>
    <row r="32" spans="1:8" x14ac:dyDescent="0.25">
      <c r="A32" s="3" t="s">
        <v>45</v>
      </c>
      <c r="B32" s="3" t="s">
        <v>46</v>
      </c>
      <c r="C32" s="3"/>
      <c r="D32" s="3"/>
      <c r="E32" s="3"/>
      <c r="F32" s="3"/>
    </row>
    <row r="33" spans="1:6" x14ac:dyDescent="0.25">
      <c r="A33" s="3" t="s">
        <v>47</v>
      </c>
      <c r="B33" s="3" t="s">
        <v>48</v>
      </c>
      <c r="C33" s="3"/>
      <c r="D33" s="3"/>
      <c r="E33" s="3"/>
      <c r="F33" s="3"/>
    </row>
    <row r="34" spans="1:6" x14ac:dyDescent="0.25">
      <c r="A34" s="3" t="s">
        <v>49</v>
      </c>
      <c r="B34" s="3" t="s">
        <v>28</v>
      </c>
      <c r="C34" s="3"/>
      <c r="D34" s="3"/>
      <c r="E34" s="3"/>
      <c r="F34" s="3"/>
    </row>
    <row r="35" spans="1:6" x14ac:dyDescent="0.25">
      <c r="A35" s="3" t="s">
        <v>50</v>
      </c>
      <c r="B35" s="3" t="s">
        <v>30</v>
      </c>
      <c r="C35" s="3"/>
      <c r="D35" s="3"/>
      <c r="E35" s="3"/>
      <c r="F35" s="3"/>
    </row>
    <row r="36" spans="1:6" x14ac:dyDescent="0.25">
      <c r="A36" s="4" t="s">
        <v>31</v>
      </c>
      <c r="B36" s="4" t="s">
        <v>32</v>
      </c>
      <c r="C36" s="4"/>
      <c r="D36" s="4"/>
      <c r="E36" s="4"/>
      <c r="F36" s="4"/>
    </row>
  </sheetData>
  <mergeCells count="12">
    <mergeCell ref="B4:H4"/>
    <mergeCell ref="A2:H2"/>
    <mergeCell ref="B6:H6"/>
    <mergeCell ref="B7:H7"/>
    <mergeCell ref="A1:H1"/>
    <mergeCell ref="B5:H5"/>
    <mergeCell ref="A12:H12"/>
    <mergeCell ref="B8:H8"/>
    <mergeCell ref="A30:H30"/>
    <mergeCell ref="B9:H9"/>
    <mergeCell ref="A20:H20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5" x14ac:dyDescent="0.25"/>
  <cols>
    <col min="1" max="1" width="10" customWidth="1"/>
    <col min="2" max="2" width="30" customWidth="1"/>
    <col min="3" max="3" width="12" customWidth="1"/>
    <col min="4" max="5" width="15" customWidth="1"/>
    <col min="6" max="6" width="18" customWidth="1"/>
    <col min="7" max="7" width="12" customWidth="1"/>
    <col min="8" max="8" width="25" customWidth="1"/>
    <col min="9" max="9" width="40" customWidth="1"/>
    <col min="10" max="10" width="12" customWidth="1"/>
    <col min="11" max="11" width="30" customWidth="1"/>
  </cols>
  <sheetData>
    <row r="1" spans="1:11" x14ac:dyDescent="0.25">
      <c r="A1" s="14" t="s">
        <v>51</v>
      </c>
      <c r="B1" s="10"/>
      <c r="C1" s="10"/>
      <c r="D1" s="10"/>
      <c r="E1" s="10"/>
      <c r="F1" s="10"/>
      <c r="G1" s="10"/>
      <c r="H1" s="10"/>
      <c r="I1" s="10"/>
    </row>
    <row r="3" spans="1:11" x14ac:dyDescent="0.25">
      <c r="A3" s="2" t="s">
        <v>52</v>
      </c>
      <c r="B3" s="2" t="s">
        <v>53</v>
      </c>
      <c r="C3" s="2" t="s">
        <v>17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</row>
    <row r="4" spans="1:11" x14ac:dyDescent="0.25">
      <c r="A4" s="5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6"/>
      <c r="K4" s="7"/>
    </row>
    <row r="5" spans="1:11" x14ac:dyDescent="0.25">
      <c r="A5" s="5" t="s">
        <v>71</v>
      </c>
      <c r="B5" s="5" t="s">
        <v>72</v>
      </c>
      <c r="C5" s="5" t="s">
        <v>73</v>
      </c>
      <c r="D5" s="5" t="s">
        <v>74</v>
      </c>
      <c r="E5" s="5" t="s">
        <v>66</v>
      </c>
      <c r="F5" s="5" t="s">
        <v>67</v>
      </c>
      <c r="G5" s="5" t="s">
        <v>68</v>
      </c>
      <c r="H5" s="5" t="s">
        <v>75</v>
      </c>
      <c r="I5" s="5" t="s">
        <v>76</v>
      </c>
      <c r="J5" s="6"/>
      <c r="K5" s="7"/>
    </row>
    <row r="6" spans="1:11" x14ac:dyDescent="0.25">
      <c r="A6" s="5" t="s">
        <v>77</v>
      </c>
      <c r="B6" s="5" t="s">
        <v>78</v>
      </c>
      <c r="C6" s="5" t="s">
        <v>79</v>
      </c>
      <c r="D6" s="5" t="s">
        <v>80</v>
      </c>
      <c r="E6" s="5" t="s">
        <v>66</v>
      </c>
      <c r="F6" s="5" t="s">
        <v>67</v>
      </c>
      <c r="G6" s="5" t="s">
        <v>68</v>
      </c>
      <c r="H6" s="5" t="s">
        <v>75</v>
      </c>
      <c r="I6" s="5" t="s">
        <v>81</v>
      </c>
      <c r="J6" s="6"/>
      <c r="K6" s="7"/>
    </row>
    <row r="7" spans="1:11" x14ac:dyDescent="0.25">
      <c r="A7" s="5" t="s">
        <v>82</v>
      </c>
      <c r="B7" s="5" t="s">
        <v>83</v>
      </c>
      <c r="C7" s="5" t="s">
        <v>79</v>
      </c>
      <c r="D7" s="5" t="s">
        <v>84</v>
      </c>
      <c r="E7" s="5" t="s">
        <v>66</v>
      </c>
      <c r="F7" s="5" t="s">
        <v>67</v>
      </c>
      <c r="G7" s="5" t="s">
        <v>68</v>
      </c>
      <c r="H7" s="5" t="s">
        <v>85</v>
      </c>
      <c r="I7" s="5" t="s">
        <v>70</v>
      </c>
      <c r="J7" s="6"/>
      <c r="K7" s="7"/>
    </row>
    <row r="8" spans="1:11" x14ac:dyDescent="0.25">
      <c r="A8" s="5" t="s">
        <v>86</v>
      </c>
      <c r="B8" s="5" t="s">
        <v>87</v>
      </c>
      <c r="C8" s="5" t="s">
        <v>79</v>
      </c>
      <c r="D8" s="5" t="s">
        <v>88</v>
      </c>
      <c r="E8" s="5" t="s">
        <v>66</v>
      </c>
      <c r="F8" s="5" t="s">
        <v>67</v>
      </c>
      <c r="G8" s="5" t="s">
        <v>68</v>
      </c>
      <c r="H8" s="5" t="s">
        <v>89</v>
      </c>
      <c r="I8" s="5" t="s">
        <v>70</v>
      </c>
      <c r="J8" s="6"/>
      <c r="K8" s="7"/>
    </row>
    <row r="9" spans="1:11" x14ac:dyDescent="0.25">
      <c r="A9" s="5" t="s">
        <v>90</v>
      </c>
      <c r="B9" s="5" t="s">
        <v>91</v>
      </c>
      <c r="C9" s="5" t="s">
        <v>79</v>
      </c>
      <c r="D9" s="5" t="s">
        <v>92</v>
      </c>
      <c r="E9" s="5" t="s">
        <v>66</v>
      </c>
      <c r="F9" s="5" t="s">
        <v>67</v>
      </c>
      <c r="G9" s="5" t="s">
        <v>68</v>
      </c>
      <c r="H9" s="5" t="s">
        <v>75</v>
      </c>
      <c r="I9" s="5" t="s">
        <v>81</v>
      </c>
      <c r="J9" s="6"/>
      <c r="K9" s="7"/>
    </row>
    <row r="10" spans="1:11" ht="25.5" x14ac:dyDescent="0.25">
      <c r="A10" s="5" t="s">
        <v>93</v>
      </c>
      <c r="B10" s="5" t="s">
        <v>94</v>
      </c>
      <c r="C10" s="5" t="s">
        <v>73</v>
      </c>
      <c r="D10" s="5" t="s">
        <v>95</v>
      </c>
      <c r="E10" s="5" t="s">
        <v>66</v>
      </c>
      <c r="F10" s="5" t="s">
        <v>67</v>
      </c>
      <c r="G10" s="5" t="s">
        <v>68</v>
      </c>
      <c r="H10" s="5" t="s">
        <v>75</v>
      </c>
      <c r="I10" s="5" t="s">
        <v>96</v>
      </c>
      <c r="J10" s="6"/>
      <c r="K10" s="7"/>
    </row>
    <row r="11" spans="1:11" ht="25.5" x14ac:dyDescent="0.25">
      <c r="A11" s="5" t="s">
        <v>97</v>
      </c>
      <c r="B11" s="5" t="s">
        <v>98</v>
      </c>
      <c r="C11" s="5" t="s">
        <v>73</v>
      </c>
      <c r="D11" s="5" t="s">
        <v>99</v>
      </c>
      <c r="E11" s="5" t="s">
        <v>66</v>
      </c>
      <c r="F11" s="5" t="s">
        <v>67</v>
      </c>
      <c r="G11" s="5" t="s">
        <v>68</v>
      </c>
      <c r="H11" s="5" t="s">
        <v>75</v>
      </c>
      <c r="I11" s="5" t="s">
        <v>96</v>
      </c>
      <c r="J11" s="6"/>
      <c r="K11" s="7"/>
    </row>
    <row r="12" spans="1:11" x14ac:dyDescent="0.25">
      <c r="A12" s="5" t="s">
        <v>100</v>
      </c>
      <c r="B12" s="5" t="s">
        <v>101</v>
      </c>
      <c r="C12" s="5" t="s">
        <v>73</v>
      </c>
      <c r="D12" s="5" t="s">
        <v>102</v>
      </c>
      <c r="E12" s="5" t="s">
        <v>66</v>
      </c>
      <c r="F12" s="5" t="s">
        <v>103</v>
      </c>
      <c r="G12" s="5" t="s">
        <v>68</v>
      </c>
      <c r="H12" s="5" t="s">
        <v>75</v>
      </c>
      <c r="I12" s="5" t="s">
        <v>104</v>
      </c>
      <c r="J12" s="6"/>
      <c r="K12" s="7"/>
    </row>
    <row r="13" spans="1:11" x14ac:dyDescent="0.25">
      <c r="A13" s="5" t="s">
        <v>105</v>
      </c>
      <c r="B13" s="5" t="s">
        <v>106</v>
      </c>
      <c r="C13" s="5" t="s">
        <v>73</v>
      </c>
      <c r="D13" s="5" t="s">
        <v>107</v>
      </c>
      <c r="E13" s="5" t="s">
        <v>74</v>
      </c>
      <c r="F13" s="5" t="s">
        <v>67</v>
      </c>
      <c r="G13" s="5" t="s">
        <v>68</v>
      </c>
      <c r="H13" s="5" t="s">
        <v>108</v>
      </c>
      <c r="I13" s="5" t="s">
        <v>109</v>
      </c>
      <c r="J13" s="6"/>
      <c r="K13" s="7"/>
    </row>
    <row r="14" spans="1:11" x14ac:dyDescent="0.25">
      <c r="A14" s="5" t="s">
        <v>110</v>
      </c>
      <c r="B14" s="5" t="s">
        <v>111</v>
      </c>
      <c r="C14" s="5" t="s">
        <v>79</v>
      </c>
      <c r="D14" s="5" t="s">
        <v>112</v>
      </c>
      <c r="E14" s="5" t="s">
        <v>113</v>
      </c>
      <c r="F14" s="5" t="s">
        <v>67</v>
      </c>
      <c r="G14" s="5" t="s">
        <v>68</v>
      </c>
      <c r="H14" s="5" t="s">
        <v>114</v>
      </c>
      <c r="I14" s="5" t="s">
        <v>115</v>
      </c>
      <c r="J14" s="6"/>
      <c r="K14" s="7"/>
    </row>
    <row r="15" spans="1:11" x14ac:dyDescent="0.25">
      <c r="A15" s="5" t="s">
        <v>116</v>
      </c>
      <c r="B15" s="5" t="s">
        <v>117</v>
      </c>
      <c r="C15" s="5" t="s">
        <v>79</v>
      </c>
      <c r="D15" s="5" t="s">
        <v>118</v>
      </c>
      <c r="E15" s="5" t="s">
        <v>119</v>
      </c>
      <c r="F15" s="5" t="s">
        <v>67</v>
      </c>
      <c r="G15" s="5" t="s">
        <v>68</v>
      </c>
      <c r="H15" s="5" t="s">
        <v>120</v>
      </c>
      <c r="I15" s="5" t="s">
        <v>70</v>
      </c>
      <c r="J15" s="6"/>
      <c r="K15" s="7"/>
    </row>
    <row r="16" spans="1:11" x14ac:dyDescent="0.25">
      <c r="A16" s="5" t="s">
        <v>121</v>
      </c>
      <c r="B16" s="5" t="s">
        <v>122</v>
      </c>
      <c r="C16" s="5" t="s">
        <v>79</v>
      </c>
      <c r="D16" s="5" t="s">
        <v>123</v>
      </c>
      <c r="E16" s="5" t="s">
        <v>124</v>
      </c>
      <c r="F16" s="5" t="s">
        <v>67</v>
      </c>
      <c r="G16" s="5" t="s">
        <v>68</v>
      </c>
      <c r="H16" s="5" t="s">
        <v>125</v>
      </c>
      <c r="I16" s="5" t="s">
        <v>70</v>
      </c>
      <c r="J16" s="6"/>
      <c r="K16" s="7"/>
    </row>
    <row r="17" spans="1:11" ht="25.5" x14ac:dyDescent="0.25">
      <c r="A17" s="5" t="s">
        <v>126</v>
      </c>
      <c r="B17" s="5" t="s">
        <v>127</v>
      </c>
      <c r="C17" s="5" t="s">
        <v>79</v>
      </c>
      <c r="D17" s="5" t="s">
        <v>128</v>
      </c>
      <c r="E17" s="5" t="s">
        <v>129</v>
      </c>
      <c r="F17" s="5" t="s">
        <v>67</v>
      </c>
      <c r="G17" s="5" t="s">
        <v>68</v>
      </c>
      <c r="H17" s="5" t="s">
        <v>130</v>
      </c>
      <c r="I17" s="5" t="s">
        <v>131</v>
      </c>
      <c r="J17" s="6"/>
      <c r="K17" s="7"/>
    </row>
    <row r="18" spans="1:11" x14ac:dyDescent="0.25">
      <c r="A18" s="5" t="s">
        <v>132</v>
      </c>
      <c r="B18" s="5" t="s">
        <v>133</v>
      </c>
      <c r="C18" s="5" t="s">
        <v>73</v>
      </c>
      <c r="D18" s="5" t="s">
        <v>134</v>
      </c>
      <c r="E18" s="5" t="s">
        <v>66</v>
      </c>
      <c r="F18" s="5" t="s">
        <v>74</v>
      </c>
      <c r="G18" s="5" t="s">
        <v>68</v>
      </c>
      <c r="H18" s="5" t="s">
        <v>135</v>
      </c>
      <c r="I18" s="5" t="s">
        <v>136</v>
      </c>
      <c r="J18" s="6"/>
      <c r="K18" s="7"/>
    </row>
    <row r="19" spans="1:11" x14ac:dyDescent="0.25">
      <c r="A19" s="5" t="s">
        <v>137</v>
      </c>
      <c r="B19" s="5" t="s">
        <v>138</v>
      </c>
      <c r="C19" s="5" t="s">
        <v>79</v>
      </c>
      <c r="D19" s="5" t="s">
        <v>139</v>
      </c>
      <c r="E19" s="5" t="s">
        <v>66</v>
      </c>
      <c r="F19" s="5" t="s">
        <v>140</v>
      </c>
      <c r="G19" s="5" t="s">
        <v>68</v>
      </c>
      <c r="H19" s="5" t="s">
        <v>141</v>
      </c>
      <c r="I19" s="5" t="s">
        <v>70</v>
      </c>
      <c r="J19" s="6"/>
      <c r="K19" s="7"/>
    </row>
    <row r="20" spans="1:11" x14ac:dyDescent="0.25">
      <c r="A20" s="5" t="s">
        <v>142</v>
      </c>
      <c r="B20" s="5" t="s">
        <v>143</v>
      </c>
      <c r="C20" s="5" t="s">
        <v>79</v>
      </c>
      <c r="D20" s="5" t="s">
        <v>144</v>
      </c>
      <c r="E20" s="5" t="s">
        <v>66</v>
      </c>
      <c r="F20" s="5" t="s">
        <v>124</v>
      </c>
      <c r="G20" s="5" t="s">
        <v>68</v>
      </c>
      <c r="H20" s="5" t="s">
        <v>145</v>
      </c>
      <c r="I20" s="5" t="s">
        <v>70</v>
      </c>
      <c r="J20" s="6"/>
      <c r="K20" s="7"/>
    </row>
    <row r="21" spans="1:11" ht="25.5" x14ac:dyDescent="0.25">
      <c r="A21" s="5" t="s">
        <v>146</v>
      </c>
      <c r="B21" s="5" t="s">
        <v>147</v>
      </c>
      <c r="C21" s="5" t="s">
        <v>79</v>
      </c>
      <c r="D21" s="5" t="s">
        <v>148</v>
      </c>
      <c r="E21" s="5" t="s">
        <v>66</v>
      </c>
      <c r="F21" s="5" t="s">
        <v>129</v>
      </c>
      <c r="G21" s="5" t="s">
        <v>68</v>
      </c>
      <c r="H21" s="5" t="s">
        <v>149</v>
      </c>
      <c r="I21" s="5" t="s">
        <v>150</v>
      </c>
      <c r="J21" s="6"/>
      <c r="K21" s="7"/>
    </row>
    <row r="22" spans="1:11" x14ac:dyDescent="0.25">
      <c r="A22" s="5" t="s">
        <v>151</v>
      </c>
      <c r="B22" s="5" t="s">
        <v>152</v>
      </c>
      <c r="C22" s="5" t="s">
        <v>73</v>
      </c>
      <c r="D22" s="5" t="s">
        <v>153</v>
      </c>
      <c r="E22" s="5" t="s">
        <v>66</v>
      </c>
      <c r="F22" s="5" t="s">
        <v>67</v>
      </c>
      <c r="G22" s="5" t="s">
        <v>74</v>
      </c>
      <c r="H22" s="5" t="s">
        <v>154</v>
      </c>
      <c r="I22" s="5" t="s">
        <v>155</v>
      </c>
      <c r="J22" s="6"/>
      <c r="K22" s="7"/>
    </row>
    <row r="23" spans="1:11" x14ac:dyDescent="0.25">
      <c r="A23" s="5" t="s">
        <v>156</v>
      </c>
      <c r="B23" s="5" t="s">
        <v>157</v>
      </c>
      <c r="C23" s="5" t="s">
        <v>64</v>
      </c>
      <c r="D23" s="5" t="s">
        <v>158</v>
      </c>
      <c r="E23" s="5" t="s">
        <v>66</v>
      </c>
      <c r="F23" s="5" t="s">
        <v>67</v>
      </c>
      <c r="G23" s="5" t="s">
        <v>159</v>
      </c>
      <c r="H23" s="5" t="s">
        <v>160</v>
      </c>
      <c r="I23" s="5" t="s">
        <v>70</v>
      </c>
      <c r="J23" s="6"/>
      <c r="K23" s="7"/>
    </row>
    <row r="24" spans="1:11" x14ac:dyDescent="0.25">
      <c r="A24" s="5" t="s">
        <v>161</v>
      </c>
      <c r="B24" s="5" t="s">
        <v>162</v>
      </c>
      <c r="C24" s="5" t="s">
        <v>64</v>
      </c>
      <c r="D24" s="5" t="s">
        <v>163</v>
      </c>
      <c r="E24" s="5" t="s">
        <v>66</v>
      </c>
      <c r="F24" s="5" t="s">
        <v>67</v>
      </c>
      <c r="G24" s="5" t="s">
        <v>68</v>
      </c>
      <c r="H24" s="5" t="s">
        <v>164</v>
      </c>
      <c r="I24" s="5" t="s">
        <v>70</v>
      </c>
      <c r="J24" s="6"/>
      <c r="K24" s="7"/>
    </row>
    <row r="25" spans="1:11" x14ac:dyDescent="0.25">
      <c r="A25" s="5" t="s">
        <v>165</v>
      </c>
      <c r="B25" s="5" t="s">
        <v>166</v>
      </c>
      <c r="C25" s="5" t="s">
        <v>64</v>
      </c>
      <c r="D25" s="5" t="s">
        <v>167</v>
      </c>
      <c r="E25" s="5" t="s">
        <v>66</v>
      </c>
      <c r="F25" s="5" t="s">
        <v>67</v>
      </c>
      <c r="G25" s="5" t="s">
        <v>168</v>
      </c>
      <c r="H25" s="5" t="s">
        <v>169</v>
      </c>
      <c r="I25" s="5" t="s">
        <v>70</v>
      </c>
      <c r="J25" s="6"/>
      <c r="K25" s="7"/>
    </row>
    <row r="26" spans="1:11" x14ac:dyDescent="0.25">
      <c r="A26" s="5" t="s">
        <v>170</v>
      </c>
      <c r="B26" s="5" t="s">
        <v>171</v>
      </c>
      <c r="C26" s="5" t="s">
        <v>64</v>
      </c>
      <c r="D26" s="5" t="s">
        <v>172</v>
      </c>
      <c r="E26" s="5" t="s">
        <v>66</v>
      </c>
      <c r="F26" s="5" t="s">
        <v>67</v>
      </c>
      <c r="G26" s="5" t="s">
        <v>173</v>
      </c>
      <c r="H26" s="5" t="s">
        <v>174</v>
      </c>
      <c r="I26" s="5" t="s">
        <v>70</v>
      </c>
      <c r="J26" s="6"/>
      <c r="K26" s="7"/>
    </row>
    <row r="27" spans="1:11" x14ac:dyDescent="0.25">
      <c r="A27" s="5" t="s">
        <v>175</v>
      </c>
      <c r="B27" s="5" t="s">
        <v>176</v>
      </c>
      <c r="C27" s="5" t="s">
        <v>73</v>
      </c>
      <c r="D27" s="5" t="s">
        <v>177</v>
      </c>
      <c r="E27" s="5" t="s">
        <v>66</v>
      </c>
      <c r="F27" s="5" t="s">
        <v>67</v>
      </c>
      <c r="G27" s="5" t="s">
        <v>68</v>
      </c>
      <c r="H27" s="5" t="s">
        <v>74</v>
      </c>
      <c r="I27" s="5" t="s">
        <v>178</v>
      </c>
      <c r="J27" s="6"/>
      <c r="K27" s="7"/>
    </row>
    <row r="28" spans="1:11" x14ac:dyDescent="0.25">
      <c r="A28" s="5" t="s">
        <v>179</v>
      </c>
      <c r="B28" s="5" t="s">
        <v>180</v>
      </c>
      <c r="C28" s="5" t="s">
        <v>73</v>
      </c>
      <c r="D28" s="5" t="s">
        <v>181</v>
      </c>
      <c r="E28" s="5" t="s">
        <v>66</v>
      </c>
      <c r="F28" s="5" t="s">
        <v>67</v>
      </c>
      <c r="G28" s="5" t="s">
        <v>68</v>
      </c>
      <c r="H28" s="5" t="s">
        <v>182</v>
      </c>
      <c r="I28" s="5" t="s">
        <v>183</v>
      </c>
      <c r="J28" s="6"/>
      <c r="K28" s="7"/>
    </row>
    <row r="29" spans="1:11" x14ac:dyDescent="0.25">
      <c r="A29" s="5" t="s">
        <v>184</v>
      </c>
      <c r="B29" s="5" t="s">
        <v>185</v>
      </c>
      <c r="C29" s="5" t="s">
        <v>73</v>
      </c>
      <c r="D29" s="5" t="s">
        <v>186</v>
      </c>
      <c r="E29" s="5" t="s">
        <v>66</v>
      </c>
      <c r="F29" s="5" t="s">
        <v>67</v>
      </c>
      <c r="G29" s="5" t="s">
        <v>68</v>
      </c>
      <c r="H29" s="5" t="s">
        <v>187</v>
      </c>
      <c r="I29" s="5" t="s">
        <v>183</v>
      </c>
      <c r="J29" s="6"/>
      <c r="K29" s="7"/>
    </row>
    <row r="30" spans="1:11" x14ac:dyDescent="0.25">
      <c r="A30" s="5" t="s">
        <v>188</v>
      </c>
      <c r="B30" s="5" t="s">
        <v>189</v>
      </c>
      <c r="C30" s="5" t="s">
        <v>73</v>
      </c>
      <c r="D30" s="5" t="s">
        <v>190</v>
      </c>
      <c r="E30" s="5" t="s">
        <v>66</v>
      </c>
      <c r="F30" s="5" t="s">
        <v>67</v>
      </c>
      <c r="G30" s="5" t="s">
        <v>68</v>
      </c>
      <c r="H30" s="5" t="s">
        <v>191</v>
      </c>
      <c r="I30" s="5" t="s">
        <v>183</v>
      </c>
      <c r="J30" s="6"/>
      <c r="K30" s="7"/>
    </row>
    <row r="31" spans="1:11" x14ac:dyDescent="0.25">
      <c r="A31" s="5" t="s">
        <v>192</v>
      </c>
      <c r="B31" s="5" t="s">
        <v>193</v>
      </c>
      <c r="C31" s="5" t="s">
        <v>73</v>
      </c>
      <c r="D31" s="5" t="s">
        <v>194</v>
      </c>
      <c r="E31" s="5" t="s">
        <v>66</v>
      </c>
      <c r="F31" s="5" t="s">
        <v>67</v>
      </c>
      <c r="G31" s="5" t="s">
        <v>68</v>
      </c>
      <c r="H31" s="5" t="s">
        <v>195</v>
      </c>
      <c r="I31" s="5" t="s">
        <v>196</v>
      </c>
      <c r="J31" s="6"/>
      <c r="K31" s="7"/>
    </row>
    <row r="32" spans="1:11" x14ac:dyDescent="0.25">
      <c r="A32" s="5" t="s">
        <v>197</v>
      </c>
      <c r="B32" s="5" t="s">
        <v>198</v>
      </c>
      <c r="C32" s="5" t="s">
        <v>64</v>
      </c>
      <c r="D32" s="5" t="s">
        <v>199</v>
      </c>
      <c r="E32" s="5" t="s">
        <v>66</v>
      </c>
      <c r="F32" s="5" t="s">
        <v>67</v>
      </c>
      <c r="G32" s="5" t="s">
        <v>68</v>
      </c>
      <c r="H32" s="5" t="s">
        <v>200</v>
      </c>
      <c r="I32" s="5" t="s">
        <v>70</v>
      </c>
      <c r="J32" s="6"/>
      <c r="K32" s="7"/>
    </row>
    <row r="33" spans="1:11" x14ac:dyDescent="0.25">
      <c r="A33" s="5" t="s">
        <v>201</v>
      </c>
      <c r="B33" s="5" t="s">
        <v>202</v>
      </c>
      <c r="C33" s="5" t="s">
        <v>64</v>
      </c>
      <c r="D33" s="5" t="s">
        <v>203</v>
      </c>
      <c r="E33" s="5" t="s">
        <v>204</v>
      </c>
      <c r="F33" s="5" t="s">
        <v>205</v>
      </c>
      <c r="G33" s="5" t="s">
        <v>168</v>
      </c>
      <c r="H33" s="5" t="s">
        <v>206</v>
      </c>
      <c r="I33" s="5" t="s">
        <v>70</v>
      </c>
      <c r="J33" s="6"/>
      <c r="K33" s="7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/>
  </sheetViews>
  <sheetFormatPr defaultRowHeight="15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4" t="s">
        <v>207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52</v>
      </c>
      <c r="B3" s="2" t="s">
        <v>53</v>
      </c>
      <c r="C3" s="2" t="s">
        <v>17</v>
      </c>
      <c r="D3" s="2" t="s">
        <v>208</v>
      </c>
      <c r="E3" s="2" t="s">
        <v>59</v>
      </c>
      <c r="F3" s="2" t="s">
        <v>209</v>
      </c>
      <c r="G3" s="2" t="s">
        <v>60</v>
      </c>
      <c r="H3" s="2" t="s">
        <v>61</v>
      </c>
    </row>
    <row r="4" spans="1:8" x14ac:dyDescent="0.25">
      <c r="A4" s="5" t="s">
        <v>210</v>
      </c>
      <c r="B4" s="5" t="s">
        <v>211</v>
      </c>
      <c r="C4" s="5" t="s">
        <v>64</v>
      </c>
      <c r="D4" s="5" t="s">
        <v>212</v>
      </c>
      <c r="E4" s="5" t="s">
        <v>213</v>
      </c>
      <c r="F4" s="5" t="s">
        <v>47</v>
      </c>
      <c r="G4" s="6"/>
      <c r="H4" s="7"/>
    </row>
    <row r="5" spans="1:8" x14ac:dyDescent="0.25">
      <c r="A5" s="5" t="s">
        <v>214</v>
      </c>
      <c r="B5" s="5" t="s">
        <v>215</v>
      </c>
      <c r="C5" s="5" t="s">
        <v>73</v>
      </c>
      <c r="D5" s="5" t="s">
        <v>216</v>
      </c>
      <c r="E5" s="5" t="s">
        <v>217</v>
      </c>
      <c r="F5" s="5" t="s">
        <v>47</v>
      </c>
      <c r="G5" s="6"/>
      <c r="H5" s="7"/>
    </row>
    <row r="6" spans="1:8" x14ac:dyDescent="0.25">
      <c r="A6" s="5" t="s">
        <v>218</v>
      </c>
      <c r="B6" s="5" t="s">
        <v>219</v>
      </c>
      <c r="C6" s="5" t="s">
        <v>73</v>
      </c>
      <c r="D6" s="5" t="s">
        <v>220</v>
      </c>
      <c r="E6" s="5" t="s">
        <v>104</v>
      </c>
      <c r="F6" s="5" t="s">
        <v>47</v>
      </c>
      <c r="G6" s="6"/>
      <c r="H6" s="7"/>
    </row>
    <row r="7" spans="1:8" ht="25.5" x14ac:dyDescent="0.25">
      <c r="A7" s="5" t="s">
        <v>221</v>
      </c>
      <c r="B7" s="5" t="s">
        <v>222</v>
      </c>
      <c r="C7" s="5" t="s">
        <v>73</v>
      </c>
      <c r="D7" s="5" t="s">
        <v>223</v>
      </c>
      <c r="E7" s="5" t="s">
        <v>196</v>
      </c>
      <c r="F7" s="5" t="s">
        <v>47</v>
      </c>
      <c r="G7" s="6"/>
      <c r="H7" s="7"/>
    </row>
    <row r="8" spans="1:8" x14ac:dyDescent="0.25">
      <c r="A8" s="5" t="s">
        <v>224</v>
      </c>
      <c r="B8" s="5" t="s">
        <v>225</v>
      </c>
      <c r="C8" s="5" t="s">
        <v>64</v>
      </c>
      <c r="D8" s="5" t="s">
        <v>226</v>
      </c>
      <c r="E8" s="5" t="s">
        <v>227</v>
      </c>
      <c r="F8" s="5" t="s">
        <v>49</v>
      </c>
      <c r="G8" s="6"/>
      <c r="H8" s="7"/>
    </row>
    <row r="9" spans="1:8" x14ac:dyDescent="0.25">
      <c r="A9" s="5" t="s">
        <v>228</v>
      </c>
      <c r="B9" s="5" t="s">
        <v>229</v>
      </c>
      <c r="C9" s="5" t="s">
        <v>64</v>
      </c>
      <c r="D9" s="5" t="s">
        <v>230</v>
      </c>
      <c r="E9" s="5" t="s">
        <v>231</v>
      </c>
      <c r="F9" s="5" t="s">
        <v>49</v>
      </c>
      <c r="G9" s="6"/>
      <c r="H9" s="7"/>
    </row>
    <row r="10" spans="1:8" x14ac:dyDescent="0.25">
      <c r="A10" s="5" t="s">
        <v>232</v>
      </c>
      <c r="B10" s="5" t="s">
        <v>233</v>
      </c>
      <c r="C10" s="5" t="s">
        <v>73</v>
      </c>
      <c r="D10" s="5" t="s">
        <v>234</v>
      </c>
      <c r="E10" s="5" t="s">
        <v>235</v>
      </c>
      <c r="F10" s="5" t="s">
        <v>47</v>
      </c>
      <c r="G10" s="6"/>
      <c r="H10" s="7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4" t="s">
        <v>236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52</v>
      </c>
      <c r="B3" s="2" t="s">
        <v>53</v>
      </c>
      <c r="C3" s="2" t="s">
        <v>17</v>
      </c>
      <c r="D3" s="2" t="s">
        <v>208</v>
      </c>
      <c r="E3" s="2" t="s">
        <v>59</v>
      </c>
      <c r="F3" s="2" t="s">
        <v>209</v>
      </c>
      <c r="G3" s="2" t="s">
        <v>60</v>
      </c>
      <c r="H3" s="2" t="s">
        <v>61</v>
      </c>
    </row>
    <row r="4" spans="1:8" x14ac:dyDescent="0.25">
      <c r="A4" s="5" t="s">
        <v>237</v>
      </c>
      <c r="B4" s="5" t="s">
        <v>238</v>
      </c>
      <c r="C4" s="5" t="s">
        <v>64</v>
      </c>
      <c r="D4" s="5" t="s">
        <v>239</v>
      </c>
      <c r="E4" s="5" t="s">
        <v>240</v>
      </c>
      <c r="F4" s="5" t="s">
        <v>47</v>
      </c>
      <c r="G4" s="6"/>
      <c r="H4" s="7"/>
    </row>
    <row r="5" spans="1:8" x14ac:dyDescent="0.25">
      <c r="A5" s="5" t="s">
        <v>241</v>
      </c>
      <c r="B5" s="5" t="s">
        <v>242</v>
      </c>
      <c r="C5" s="5" t="s">
        <v>64</v>
      </c>
      <c r="D5" s="5" t="s">
        <v>243</v>
      </c>
      <c r="E5" s="5" t="s">
        <v>244</v>
      </c>
      <c r="F5" s="5" t="s">
        <v>49</v>
      </c>
      <c r="G5" s="6"/>
      <c r="H5" s="7"/>
    </row>
    <row r="6" spans="1:8" x14ac:dyDescent="0.25">
      <c r="A6" s="5" t="s">
        <v>245</v>
      </c>
      <c r="B6" s="5" t="s">
        <v>246</v>
      </c>
      <c r="C6" s="5" t="s">
        <v>73</v>
      </c>
      <c r="D6" s="5" t="s">
        <v>247</v>
      </c>
      <c r="E6" s="5" t="s">
        <v>248</v>
      </c>
      <c r="F6" s="5" t="s">
        <v>47</v>
      </c>
      <c r="G6" s="6"/>
      <c r="H6" s="7"/>
    </row>
    <row r="7" spans="1:8" x14ac:dyDescent="0.25">
      <c r="A7" s="5" t="s">
        <v>249</v>
      </c>
      <c r="B7" s="5" t="s">
        <v>250</v>
      </c>
      <c r="C7" s="5" t="s">
        <v>64</v>
      </c>
      <c r="D7" s="5" t="s">
        <v>251</v>
      </c>
      <c r="E7" s="5" t="s">
        <v>252</v>
      </c>
      <c r="F7" s="5" t="s">
        <v>47</v>
      </c>
      <c r="G7" s="6"/>
      <c r="H7" s="7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5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4" t="s">
        <v>253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52</v>
      </c>
      <c r="B3" s="2" t="s">
        <v>53</v>
      </c>
      <c r="C3" s="2" t="s">
        <v>17</v>
      </c>
      <c r="D3" s="2" t="s">
        <v>208</v>
      </c>
      <c r="E3" s="2" t="s">
        <v>59</v>
      </c>
      <c r="F3" s="2" t="s">
        <v>209</v>
      </c>
      <c r="G3" s="2" t="s">
        <v>60</v>
      </c>
      <c r="H3" s="2" t="s">
        <v>61</v>
      </c>
    </row>
    <row r="4" spans="1:8" x14ac:dyDescent="0.25">
      <c r="A4" s="5" t="s">
        <v>254</v>
      </c>
      <c r="B4" s="5" t="s">
        <v>255</v>
      </c>
      <c r="C4" s="5" t="s">
        <v>64</v>
      </c>
      <c r="D4" s="5" t="s">
        <v>256</v>
      </c>
      <c r="E4" s="5" t="s">
        <v>257</v>
      </c>
      <c r="F4" s="5" t="s">
        <v>49</v>
      </c>
      <c r="G4" s="6"/>
      <c r="H4" s="7"/>
    </row>
    <row r="5" spans="1:8" x14ac:dyDescent="0.25">
      <c r="A5" s="5" t="s">
        <v>258</v>
      </c>
      <c r="B5" s="5" t="s">
        <v>259</v>
      </c>
      <c r="C5" s="5" t="s">
        <v>64</v>
      </c>
      <c r="D5" s="5" t="s">
        <v>260</v>
      </c>
      <c r="E5" s="5" t="s">
        <v>261</v>
      </c>
      <c r="F5" s="5" t="s">
        <v>49</v>
      </c>
      <c r="G5" s="6"/>
      <c r="H5" s="7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5" x14ac:dyDescent="0.25"/>
  <cols>
    <col min="1" max="1" width="10" customWidth="1"/>
    <col min="2" max="2" width="30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4" t="s">
        <v>262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52</v>
      </c>
      <c r="B3" s="2" t="s">
        <v>53</v>
      </c>
      <c r="C3" s="2" t="s">
        <v>17</v>
      </c>
      <c r="D3" s="2" t="s">
        <v>208</v>
      </c>
      <c r="E3" s="2" t="s">
        <v>59</v>
      </c>
      <c r="F3" s="2" t="s">
        <v>209</v>
      </c>
      <c r="G3" s="2" t="s">
        <v>60</v>
      </c>
      <c r="H3" s="2" t="s">
        <v>61</v>
      </c>
    </row>
    <row r="4" spans="1:8" x14ac:dyDescent="0.25">
      <c r="A4" s="5" t="s">
        <v>263</v>
      </c>
      <c r="B4" s="5" t="s">
        <v>264</v>
      </c>
      <c r="C4" s="5" t="s">
        <v>64</v>
      </c>
      <c r="D4" s="5" t="s">
        <v>265</v>
      </c>
      <c r="E4" s="5" t="s">
        <v>266</v>
      </c>
      <c r="F4" s="5" t="s">
        <v>47</v>
      </c>
      <c r="G4" s="6"/>
      <c r="H4" s="7"/>
    </row>
    <row r="5" spans="1:8" x14ac:dyDescent="0.25">
      <c r="A5" s="5" t="s">
        <v>267</v>
      </c>
      <c r="B5" s="5" t="s">
        <v>268</v>
      </c>
      <c r="C5" s="5" t="s">
        <v>64</v>
      </c>
      <c r="D5" s="5" t="s">
        <v>269</v>
      </c>
      <c r="E5" s="5" t="s">
        <v>270</v>
      </c>
      <c r="F5" s="5" t="s">
        <v>49</v>
      </c>
      <c r="G5" s="6"/>
      <c r="H5" s="7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5" x14ac:dyDescent="0.25"/>
  <cols>
    <col min="1" max="1" width="10" customWidth="1"/>
    <col min="2" max="2" width="35" customWidth="1"/>
    <col min="3" max="3" width="12" customWidth="1"/>
    <col min="4" max="5" width="50" customWidth="1"/>
    <col min="6" max="7" width="12" customWidth="1"/>
    <col min="8" max="8" width="30" customWidth="1"/>
  </cols>
  <sheetData>
    <row r="1" spans="1:8" x14ac:dyDescent="0.25">
      <c r="A1" s="14" t="s">
        <v>271</v>
      </c>
      <c r="B1" s="10"/>
      <c r="C1" s="10"/>
      <c r="D1" s="10"/>
      <c r="E1" s="10"/>
      <c r="F1" s="10"/>
      <c r="G1" s="10"/>
      <c r="H1" s="10"/>
    </row>
    <row r="3" spans="1:8" x14ac:dyDescent="0.25">
      <c r="A3" s="2" t="s">
        <v>52</v>
      </c>
      <c r="B3" s="2" t="s">
        <v>53</v>
      </c>
      <c r="C3" s="2" t="s">
        <v>17</v>
      </c>
      <c r="D3" s="2" t="s">
        <v>208</v>
      </c>
      <c r="E3" s="2" t="s">
        <v>59</v>
      </c>
      <c r="F3" s="2" t="s">
        <v>209</v>
      </c>
      <c r="G3" s="2" t="s">
        <v>60</v>
      </c>
      <c r="H3" s="2" t="s">
        <v>61</v>
      </c>
    </row>
    <row r="4" spans="1:8" x14ac:dyDescent="0.25">
      <c r="A4" s="5" t="s">
        <v>272</v>
      </c>
      <c r="B4" s="5" t="s">
        <v>273</v>
      </c>
      <c r="C4" s="5" t="s">
        <v>274</v>
      </c>
      <c r="D4" s="5" t="s">
        <v>275</v>
      </c>
      <c r="E4" s="5" t="s">
        <v>276</v>
      </c>
      <c r="F4" s="5" t="s">
        <v>45</v>
      </c>
      <c r="G4" s="6"/>
      <c r="H4" s="7"/>
    </row>
    <row r="5" spans="1:8" x14ac:dyDescent="0.25">
      <c r="A5" s="5" t="s">
        <v>277</v>
      </c>
      <c r="B5" s="5" t="s">
        <v>278</v>
      </c>
      <c r="C5" s="5" t="s">
        <v>274</v>
      </c>
      <c r="D5" s="5" t="s">
        <v>279</v>
      </c>
      <c r="E5" s="5" t="s">
        <v>280</v>
      </c>
      <c r="F5" s="5" t="s">
        <v>45</v>
      </c>
      <c r="G5" s="6"/>
      <c r="H5" s="7"/>
    </row>
    <row r="6" spans="1:8" x14ac:dyDescent="0.25">
      <c r="A6" s="5" t="s">
        <v>281</v>
      </c>
      <c r="B6" s="5" t="s">
        <v>282</v>
      </c>
      <c r="C6" s="5" t="s">
        <v>274</v>
      </c>
      <c r="D6" s="5" t="s">
        <v>283</v>
      </c>
      <c r="E6" s="5" t="s">
        <v>284</v>
      </c>
      <c r="F6" s="5" t="s">
        <v>47</v>
      </c>
      <c r="G6" s="6"/>
      <c r="H6" s="7"/>
    </row>
    <row r="7" spans="1:8" x14ac:dyDescent="0.25">
      <c r="A7" s="5" t="s">
        <v>285</v>
      </c>
      <c r="B7" s="5" t="s">
        <v>286</v>
      </c>
      <c r="C7" s="5" t="s">
        <v>274</v>
      </c>
      <c r="D7" s="5" t="s">
        <v>287</v>
      </c>
      <c r="E7" s="5" t="s">
        <v>288</v>
      </c>
      <c r="F7" s="5" t="s">
        <v>47</v>
      </c>
      <c r="G7" s="6"/>
      <c r="H7" s="7"/>
    </row>
    <row r="8" spans="1:8" x14ac:dyDescent="0.25">
      <c r="A8" s="5" t="s">
        <v>289</v>
      </c>
      <c r="B8" s="5" t="s">
        <v>290</v>
      </c>
      <c r="C8" s="5" t="s">
        <v>274</v>
      </c>
      <c r="D8" s="5" t="s">
        <v>291</v>
      </c>
      <c r="E8" s="5" t="s">
        <v>292</v>
      </c>
      <c r="F8" s="5" t="s">
        <v>49</v>
      </c>
      <c r="G8" s="6"/>
      <c r="H8" s="7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workbookViewId="0"/>
  </sheetViews>
  <sheetFormatPr defaultRowHeight="15" x14ac:dyDescent="0.25"/>
  <cols>
    <col min="1" max="1" width="12" customWidth="1"/>
    <col min="2" max="2" width="10" customWidth="1"/>
    <col min="3" max="4" width="12" customWidth="1"/>
    <col min="5" max="5" width="30" customWidth="1"/>
    <col min="6" max="6" width="40" customWidth="1"/>
    <col min="7" max="8" width="30" customWidth="1"/>
    <col min="9" max="9" width="12" customWidth="1"/>
    <col min="10" max="10" width="15" customWidth="1"/>
    <col min="11" max="11" width="25" customWidth="1"/>
  </cols>
  <sheetData>
    <row r="1" spans="1:11" x14ac:dyDescent="0.25">
      <c r="A1" s="14" t="s">
        <v>293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spans="1:11" x14ac:dyDescent="0.25">
      <c r="A3" s="15" t="s">
        <v>294</v>
      </c>
      <c r="B3" s="10"/>
      <c r="C3" s="10"/>
      <c r="D3" s="10"/>
      <c r="E3" s="10"/>
    </row>
    <row r="4" spans="1:11" ht="30" x14ac:dyDescent="0.25">
      <c r="A4" s="2" t="s">
        <v>295</v>
      </c>
      <c r="B4" s="2" t="s">
        <v>296</v>
      </c>
      <c r="C4" s="2" t="s">
        <v>53</v>
      </c>
      <c r="D4" s="2" t="s">
        <v>297</v>
      </c>
    </row>
    <row r="5" spans="1:11" ht="38.25" x14ac:dyDescent="0.25">
      <c r="A5" s="5" t="s">
        <v>45</v>
      </c>
      <c r="B5" s="5" t="s">
        <v>298</v>
      </c>
      <c r="C5" s="5" t="s">
        <v>299</v>
      </c>
      <c r="D5" s="5" t="s">
        <v>300</v>
      </c>
    </row>
    <row r="6" spans="1:11" ht="38.25" x14ac:dyDescent="0.25">
      <c r="A6" s="5" t="s">
        <v>47</v>
      </c>
      <c r="B6" s="5" t="s">
        <v>298</v>
      </c>
      <c r="C6" s="5" t="s">
        <v>301</v>
      </c>
      <c r="D6" s="5" t="s">
        <v>300</v>
      </c>
    </row>
    <row r="7" spans="1:11" ht="25.5" x14ac:dyDescent="0.25">
      <c r="A7" s="5" t="s">
        <v>49</v>
      </c>
      <c r="B7" s="5" t="s">
        <v>298</v>
      </c>
      <c r="C7" s="5" t="s">
        <v>302</v>
      </c>
      <c r="D7" s="5" t="s">
        <v>300</v>
      </c>
    </row>
    <row r="8" spans="1:11" ht="25.5" x14ac:dyDescent="0.25">
      <c r="A8" s="5" t="s">
        <v>50</v>
      </c>
      <c r="B8" s="5" t="s">
        <v>298</v>
      </c>
      <c r="C8" s="5" t="s">
        <v>303</v>
      </c>
      <c r="D8" s="5" t="s">
        <v>300</v>
      </c>
    </row>
    <row r="10" spans="1:11" x14ac:dyDescent="0.25">
      <c r="A10" s="15" t="s">
        <v>304</v>
      </c>
      <c r="B10" s="10"/>
      <c r="C10" s="10"/>
    </row>
    <row r="11" spans="1:11" ht="30" x14ac:dyDescent="0.25">
      <c r="A11" s="2" t="s">
        <v>305</v>
      </c>
      <c r="B11" s="2" t="s">
        <v>296</v>
      </c>
      <c r="C11" s="2" t="s">
        <v>306</v>
      </c>
    </row>
    <row r="12" spans="1:11" x14ac:dyDescent="0.25">
      <c r="A12" s="3" t="s">
        <v>307</v>
      </c>
      <c r="B12" s="3" t="s">
        <v>298</v>
      </c>
      <c r="C12" s="3" t="s">
        <v>308</v>
      </c>
    </row>
    <row r="13" spans="1:11" x14ac:dyDescent="0.25">
      <c r="A13" s="3" t="s">
        <v>309</v>
      </c>
      <c r="B13" s="3" t="s">
        <v>298</v>
      </c>
      <c r="C13" s="3" t="s">
        <v>308</v>
      </c>
    </row>
    <row r="14" spans="1:11" x14ac:dyDescent="0.25">
      <c r="A14" s="3" t="s">
        <v>310</v>
      </c>
      <c r="B14" s="3" t="s">
        <v>298</v>
      </c>
      <c r="C14" s="3" t="s">
        <v>308</v>
      </c>
    </row>
    <row r="15" spans="1:11" x14ac:dyDescent="0.25">
      <c r="A15" s="3" t="s">
        <v>311</v>
      </c>
      <c r="B15" s="3" t="s">
        <v>298</v>
      </c>
      <c r="C15" s="3" t="s">
        <v>308</v>
      </c>
    </row>
    <row r="16" spans="1:11" x14ac:dyDescent="0.25">
      <c r="A16" s="3" t="s">
        <v>312</v>
      </c>
      <c r="B16" s="3" t="s">
        <v>298</v>
      </c>
      <c r="C16" s="3" t="s">
        <v>308</v>
      </c>
    </row>
    <row r="17" spans="1:11" x14ac:dyDescent="0.25">
      <c r="A17" s="3" t="s">
        <v>313</v>
      </c>
      <c r="B17" s="3" t="s">
        <v>298</v>
      </c>
      <c r="C17" s="3" t="s">
        <v>308</v>
      </c>
    </row>
    <row r="20" spans="1:11" x14ac:dyDescent="0.25">
      <c r="A20" s="16" t="s">
        <v>314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5">
      <c r="A21" s="2" t="s">
        <v>315</v>
      </c>
      <c r="B21" s="2" t="s">
        <v>316</v>
      </c>
      <c r="C21" s="2" t="s">
        <v>317</v>
      </c>
      <c r="D21" s="2" t="s">
        <v>209</v>
      </c>
      <c r="E21" s="2" t="s">
        <v>318</v>
      </c>
      <c r="F21" s="2" t="s">
        <v>319</v>
      </c>
      <c r="G21" s="2" t="s">
        <v>320</v>
      </c>
      <c r="H21" s="2" t="s">
        <v>321</v>
      </c>
      <c r="I21" s="2" t="s">
        <v>322</v>
      </c>
      <c r="J21" s="2" t="s">
        <v>323</v>
      </c>
      <c r="K21" s="2" t="s">
        <v>324</v>
      </c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</sheetData>
  <mergeCells count="4">
    <mergeCell ref="A10:C10"/>
    <mergeCell ref="A1:K1"/>
    <mergeCell ref="A20:K20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1"/>
  <sheetViews>
    <sheetView workbookViewId="0"/>
  </sheetViews>
  <sheetFormatPr defaultRowHeight="15" x14ac:dyDescent="0.25"/>
  <cols>
    <col min="1" max="1" width="12" customWidth="1"/>
    <col min="2" max="2" width="15" customWidth="1"/>
    <col min="3" max="3" width="25" customWidth="1"/>
    <col min="4" max="4" width="40" customWidth="1"/>
    <col min="5" max="5" width="25" customWidth="1"/>
  </cols>
  <sheetData>
    <row r="1" spans="1:5" x14ac:dyDescent="0.25">
      <c r="A1" s="14" t="s">
        <v>325</v>
      </c>
      <c r="B1" s="10"/>
      <c r="C1" s="10"/>
      <c r="D1" s="10"/>
      <c r="E1" s="10"/>
    </row>
    <row r="3" spans="1:5" x14ac:dyDescent="0.25">
      <c r="A3" s="15" t="s">
        <v>326</v>
      </c>
      <c r="B3" s="10"/>
      <c r="C3" s="10"/>
      <c r="D3" s="10"/>
      <c r="E3" s="10"/>
    </row>
    <row r="4" spans="1:5" x14ac:dyDescent="0.25">
      <c r="A4" s="2" t="s">
        <v>327</v>
      </c>
      <c r="B4" s="2" t="s">
        <v>328</v>
      </c>
      <c r="C4" s="2" t="s">
        <v>329</v>
      </c>
      <c r="D4" s="2" t="s">
        <v>53</v>
      </c>
      <c r="E4" s="2" t="s">
        <v>330</v>
      </c>
    </row>
    <row r="5" spans="1:5" x14ac:dyDescent="0.25">
      <c r="A5" s="5" t="s">
        <v>331</v>
      </c>
      <c r="B5" s="5" t="s">
        <v>332</v>
      </c>
      <c r="C5" s="5" t="s">
        <v>333</v>
      </c>
      <c r="D5" s="5" t="s">
        <v>334</v>
      </c>
      <c r="E5" s="5" t="s">
        <v>335</v>
      </c>
    </row>
    <row r="6" spans="1:5" x14ac:dyDescent="0.25">
      <c r="A6" s="5" t="s">
        <v>336</v>
      </c>
      <c r="B6" s="5" t="s">
        <v>337</v>
      </c>
      <c r="C6" s="5" t="s">
        <v>80</v>
      </c>
      <c r="D6" s="5" t="s">
        <v>338</v>
      </c>
      <c r="E6" s="5" t="s">
        <v>77</v>
      </c>
    </row>
    <row r="7" spans="1:5" x14ac:dyDescent="0.25">
      <c r="A7" s="5" t="s">
        <v>339</v>
      </c>
      <c r="B7" s="5" t="s">
        <v>337</v>
      </c>
      <c r="C7" s="5" t="s">
        <v>92</v>
      </c>
      <c r="D7" s="5" t="s">
        <v>340</v>
      </c>
      <c r="E7" s="5" t="s">
        <v>90</v>
      </c>
    </row>
    <row r="8" spans="1:5" x14ac:dyDescent="0.25">
      <c r="A8" s="5" t="s">
        <v>341</v>
      </c>
      <c r="B8" s="5" t="s">
        <v>337</v>
      </c>
      <c r="C8" s="5" t="s">
        <v>95</v>
      </c>
      <c r="D8" s="5" t="s">
        <v>342</v>
      </c>
      <c r="E8" s="5" t="s">
        <v>93</v>
      </c>
    </row>
    <row r="9" spans="1:5" x14ac:dyDescent="0.25">
      <c r="A9" s="5" t="s">
        <v>343</v>
      </c>
      <c r="B9" s="5" t="s">
        <v>337</v>
      </c>
      <c r="C9" s="5" t="s">
        <v>99</v>
      </c>
      <c r="D9" s="5" t="s">
        <v>344</v>
      </c>
      <c r="E9" s="5" t="s">
        <v>97</v>
      </c>
    </row>
    <row r="10" spans="1:5" x14ac:dyDescent="0.25">
      <c r="A10" s="5" t="s">
        <v>345</v>
      </c>
      <c r="B10" s="5" t="s">
        <v>337</v>
      </c>
      <c r="C10" s="5" t="s">
        <v>74</v>
      </c>
      <c r="D10" s="5" t="s">
        <v>346</v>
      </c>
      <c r="E10" s="5" t="s">
        <v>71</v>
      </c>
    </row>
    <row r="11" spans="1:5" x14ac:dyDescent="0.25">
      <c r="A11" s="5" t="s">
        <v>347</v>
      </c>
      <c r="B11" s="5" t="s">
        <v>337</v>
      </c>
      <c r="C11" s="5" t="s">
        <v>102</v>
      </c>
      <c r="D11" s="5" t="s">
        <v>348</v>
      </c>
      <c r="E11" s="5" t="s">
        <v>100</v>
      </c>
    </row>
    <row r="13" spans="1:5" x14ac:dyDescent="0.25">
      <c r="A13" s="15" t="s">
        <v>349</v>
      </c>
      <c r="B13" s="10"/>
      <c r="C13" s="10"/>
      <c r="D13" s="10"/>
      <c r="E13" s="10"/>
    </row>
    <row r="14" spans="1:5" x14ac:dyDescent="0.25">
      <c r="A14" s="2" t="s">
        <v>327</v>
      </c>
      <c r="B14" s="2" t="s">
        <v>328</v>
      </c>
      <c r="C14" s="2" t="s">
        <v>329</v>
      </c>
      <c r="D14" s="2" t="s">
        <v>53</v>
      </c>
      <c r="E14" s="2" t="s">
        <v>330</v>
      </c>
    </row>
    <row r="15" spans="1:5" x14ac:dyDescent="0.25">
      <c r="A15" s="5" t="s">
        <v>331</v>
      </c>
      <c r="B15" s="5" t="s">
        <v>332</v>
      </c>
      <c r="C15" s="5" t="s">
        <v>66</v>
      </c>
      <c r="D15" s="5" t="s">
        <v>350</v>
      </c>
      <c r="E15" s="5" t="s">
        <v>351</v>
      </c>
    </row>
    <row r="16" spans="1:5" x14ac:dyDescent="0.25">
      <c r="A16" s="5" t="s">
        <v>336</v>
      </c>
      <c r="B16" s="5" t="s">
        <v>337</v>
      </c>
      <c r="C16" s="5" t="s">
        <v>113</v>
      </c>
      <c r="D16" s="5" t="s">
        <v>338</v>
      </c>
      <c r="E16" s="5" t="s">
        <v>110</v>
      </c>
    </row>
    <row r="17" spans="1:5" x14ac:dyDescent="0.25">
      <c r="A17" s="5" t="s">
        <v>339</v>
      </c>
      <c r="B17" s="5" t="s">
        <v>337</v>
      </c>
      <c r="C17" s="5" t="s">
        <v>129</v>
      </c>
      <c r="D17" s="5" t="s">
        <v>352</v>
      </c>
      <c r="E17" s="5" t="s">
        <v>126</v>
      </c>
    </row>
    <row r="18" spans="1:5" x14ac:dyDescent="0.25">
      <c r="A18" s="5" t="s">
        <v>341</v>
      </c>
      <c r="B18" s="5" t="s">
        <v>337</v>
      </c>
      <c r="C18" s="5" t="s">
        <v>74</v>
      </c>
      <c r="D18" s="5" t="s">
        <v>346</v>
      </c>
      <c r="E18" s="5" t="s">
        <v>105</v>
      </c>
    </row>
    <row r="20" spans="1:5" x14ac:dyDescent="0.25">
      <c r="A20" s="15" t="s">
        <v>353</v>
      </c>
      <c r="B20" s="10"/>
      <c r="C20" s="10"/>
      <c r="D20" s="10"/>
      <c r="E20" s="10"/>
    </row>
    <row r="21" spans="1:5" x14ac:dyDescent="0.25">
      <c r="A21" s="2" t="s">
        <v>327</v>
      </c>
      <c r="B21" s="2" t="s">
        <v>328</v>
      </c>
      <c r="C21" s="2" t="s">
        <v>329</v>
      </c>
      <c r="D21" s="2" t="s">
        <v>53</v>
      </c>
      <c r="E21" s="2" t="s">
        <v>330</v>
      </c>
    </row>
    <row r="22" spans="1:5" x14ac:dyDescent="0.25">
      <c r="A22" s="5" t="s">
        <v>331</v>
      </c>
      <c r="B22" s="5" t="s">
        <v>332</v>
      </c>
      <c r="C22" s="5" t="s">
        <v>67</v>
      </c>
      <c r="D22" s="5" t="s">
        <v>354</v>
      </c>
      <c r="E22" s="5" t="s">
        <v>355</v>
      </c>
    </row>
    <row r="23" spans="1:5" x14ac:dyDescent="0.25">
      <c r="A23" s="5" t="s">
        <v>336</v>
      </c>
      <c r="B23" s="5" t="s">
        <v>337</v>
      </c>
      <c r="C23" s="5" t="s">
        <v>74</v>
      </c>
      <c r="D23" s="5" t="s">
        <v>346</v>
      </c>
      <c r="E23" s="5" t="s">
        <v>132</v>
      </c>
    </row>
    <row r="24" spans="1:5" x14ac:dyDescent="0.25">
      <c r="A24" s="5" t="s">
        <v>339</v>
      </c>
      <c r="B24" s="5" t="s">
        <v>337</v>
      </c>
      <c r="C24" s="5" t="s">
        <v>129</v>
      </c>
      <c r="D24" s="5" t="s">
        <v>352</v>
      </c>
      <c r="E24" s="5" t="s">
        <v>146</v>
      </c>
    </row>
    <row r="26" spans="1:5" x14ac:dyDescent="0.25">
      <c r="A26" s="15" t="s">
        <v>356</v>
      </c>
      <c r="B26" s="10"/>
      <c r="C26" s="10"/>
      <c r="D26" s="10"/>
      <c r="E26" s="10"/>
    </row>
    <row r="27" spans="1:5" x14ac:dyDescent="0.25">
      <c r="A27" s="2" t="s">
        <v>327</v>
      </c>
      <c r="B27" s="2" t="s">
        <v>328</v>
      </c>
      <c r="C27" s="2" t="s">
        <v>329</v>
      </c>
      <c r="D27" s="2" t="s">
        <v>53</v>
      </c>
      <c r="E27" s="2" t="s">
        <v>330</v>
      </c>
    </row>
    <row r="28" spans="1:5" x14ac:dyDescent="0.25">
      <c r="A28" s="5" t="s">
        <v>331</v>
      </c>
      <c r="B28" s="5" t="s">
        <v>332</v>
      </c>
      <c r="C28" s="5" t="s">
        <v>159</v>
      </c>
      <c r="D28" s="5" t="s">
        <v>357</v>
      </c>
      <c r="E28" s="5" t="s">
        <v>156</v>
      </c>
    </row>
    <row r="29" spans="1:5" x14ac:dyDescent="0.25">
      <c r="A29" s="5" t="s">
        <v>336</v>
      </c>
      <c r="B29" s="5" t="s">
        <v>332</v>
      </c>
      <c r="C29" s="5" t="s">
        <v>68</v>
      </c>
      <c r="D29" s="5" t="s">
        <v>357</v>
      </c>
      <c r="E29" s="5" t="s">
        <v>161</v>
      </c>
    </row>
    <row r="30" spans="1:5" x14ac:dyDescent="0.25">
      <c r="A30" s="5" t="s">
        <v>339</v>
      </c>
      <c r="B30" s="5" t="s">
        <v>332</v>
      </c>
      <c r="C30" s="5" t="s">
        <v>168</v>
      </c>
      <c r="D30" s="5" t="s">
        <v>357</v>
      </c>
      <c r="E30" s="5" t="s">
        <v>165</v>
      </c>
    </row>
    <row r="31" spans="1:5" x14ac:dyDescent="0.25">
      <c r="A31" s="5" t="s">
        <v>341</v>
      </c>
      <c r="B31" s="5" t="s">
        <v>332</v>
      </c>
      <c r="C31" s="5" t="s">
        <v>173</v>
      </c>
      <c r="D31" s="5" t="s">
        <v>357</v>
      </c>
      <c r="E31" s="5" t="s">
        <v>170</v>
      </c>
    </row>
    <row r="32" spans="1:5" x14ac:dyDescent="0.25">
      <c r="A32" s="5" t="s">
        <v>343</v>
      </c>
      <c r="B32" s="5" t="s">
        <v>337</v>
      </c>
      <c r="C32" s="5" t="s">
        <v>74</v>
      </c>
      <c r="D32" s="5" t="s">
        <v>358</v>
      </c>
      <c r="E32" s="5" t="s">
        <v>151</v>
      </c>
    </row>
    <row r="34" spans="1:5" x14ac:dyDescent="0.25">
      <c r="A34" s="15" t="s">
        <v>359</v>
      </c>
      <c r="B34" s="10"/>
      <c r="C34" s="10"/>
      <c r="D34" s="10"/>
      <c r="E34" s="10"/>
    </row>
    <row r="35" spans="1:5" x14ac:dyDescent="0.25">
      <c r="A35" s="2" t="s">
        <v>327</v>
      </c>
      <c r="B35" s="2" t="s">
        <v>328</v>
      </c>
      <c r="C35" s="2" t="s">
        <v>329</v>
      </c>
      <c r="D35" s="2" t="s">
        <v>53</v>
      </c>
      <c r="E35" s="2" t="s">
        <v>330</v>
      </c>
    </row>
    <row r="36" spans="1:5" x14ac:dyDescent="0.25">
      <c r="A36" s="5" t="s">
        <v>331</v>
      </c>
      <c r="B36" s="5" t="s">
        <v>332</v>
      </c>
      <c r="C36" s="5" t="s">
        <v>360</v>
      </c>
      <c r="D36" s="5" t="s">
        <v>361</v>
      </c>
      <c r="E36" s="5" t="s">
        <v>362</v>
      </c>
    </row>
    <row r="37" spans="1:5" x14ac:dyDescent="0.25">
      <c r="A37" s="5" t="s">
        <v>336</v>
      </c>
      <c r="B37" s="5" t="s">
        <v>337</v>
      </c>
      <c r="C37" s="5" t="s">
        <v>182</v>
      </c>
      <c r="D37" s="5" t="s">
        <v>363</v>
      </c>
      <c r="E37" s="5" t="s">
        <v>179</v>
      </c>
    </row>
    <row r="38" spans="1:5" x14ac:dyDescent="0.25">
      <c r="A38" s="5" t="s">
        <v>339</v>
      </c>
      <c r="B38" s="5" t="s">
        <v>337</v>
      </c>
      <c r="C38" s="5" t="s">
        <v>187</v>
      </c>
      <c r="D38" s="5" t="s">
        <v>364</v>
      </c>
      <c r="E38" s="5" t="s">
        <v>184</v>
      </c>
    </row>
    <row r="39" spans="1:5" x14ac:dyDescent="0.25">
      <c r="A39" s="5" t="s">
        <v>341</v>
      </c>
      <c r="B39" s="5" t="s">
        <v>337</v>
      </c>
      <c r="C39" s="5" t="s">
        <v>191</v>
      </c>
      <c r="D39" s="5" t="s">
        <v>365</v>
      </c>
      <c r="E39" s="5" t="s">
        <v>188</v>
      </c>
    </row>
    <row r="40" spans="1:5" x14ac:dyDescent="0.25">
      <c r="A40" s="5" t="s">
        <v>343</v>
      </c>
      <c r="B40" s="5" t="s">
        <v>337</v>
      </c>
      <c r="C40" s="5" t="s">
        <v>74</v>
      </c>
      <c r="D40" s="5" t="s">
        <v>346</v>
      </c>
      <c r="E40" s="5" t="s">
        <v>175</v>
      </c>
    </row>
    <row r="41" spans="1:5" x14ac:dyDescent="0.25">
      <c r="A41" s="5" t="s">
        <v>345</v>
      </c>
      <c r="B41" s="5" t="s">
        <v>337</v>
      </c>
      <c r="C41" s="5" t="s">
        <v>195</v>
      </c>
      <c r="D41" s="5" t="s">
        <v>348</v>
      </c>
      <c r="E41" s="5" t="s">
        <v>192</v>
      </c>
    </row>
  </sheetData>
  <mergeCells count="6">
    <mergeCell ref="A34:E34"/>
    <mergeCell ref="A26:E26"/>
    <mergeCell ref="A20:E20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Tổng Quan</vt:lpstr>
      <vt:lpstr>CREATE Tests</vt:lpstr>
      <vt:lpstr>UPDATE Tests</vt:lpstr>
      <vt:lpstr>DELETE Tests</vt:lpstr>
      <vt:lpstr>RESET Tests</vt:lpstr>
      <vt:lpstr>SELECT Tests</vt:lpstr>
      <vt:lpstr>INTEGRATION Tests</vt:lpstr>
      <vt:lpstr>Bug Report</vt:lpstr>
      <vt:lpstr>Equivalence Partitioning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2026-02-03T07:58:22Z</dcterms:created>
  <dcterms:modified xsi:type="dcterms:W3CDTF">2026-02-03T08:03:09Z</dcterms:modified>
</cp:coreProperties>
</file>